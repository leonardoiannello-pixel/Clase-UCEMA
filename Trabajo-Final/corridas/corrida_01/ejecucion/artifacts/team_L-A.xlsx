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d8b6645a04a3d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D4CE" lockStructure="1"/>
  <sheets>
    <sheet name="Summary" sheetId="1" ns1:id="Ra146f83b37464193"/>
    <sheet name="Detail" sheetId="2" ns1:id="R63c00c4e5f4d46f8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6ea18e58b48e1" /><Relationship Type="http://schemas.openxmlformats.org/officeDocument/2006/relationships/theme" Target="/xl/theme/theme1.xml" Id="Rf330e50387464478" /><Relationship Type="http://schemas.openxmlformats.org/officeDocument/2006/relationships/sharedStrings" Target="/xl/sharedStrings.xml" Id="R2067e704ed2c42d9" /><Relationship Type="http://schemas.openxmlformats.org/officeDocument/2006/relationships/worksheet" Target="/xl/worksheets/sheet1.xml" Id="Ra146f83b37464193" /><Relationship Type="http://schemas.openxmlformats.org/officeDocument/2006/relationships/worksheet" Target="/xl/worksheets/sheet2.xml" Id="R63c00c4e5f4d46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Alpha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L-A</v>
      </c>
    </row>
    <row r="4" ht="23" customHeight="1">
      <c r="A4" s="2" t="str">
        <v>Team Payroll June</v>
      </c>
      <c r="B4" s="2" t="n">
        <f>SUM('Detail'!H2:H6)</f>
        <v>9000000</v>
      </c>
    </row>
    <row r="5" ht="23" customHeight="1">
      <c r="A5" s="2" t="str">
        <v>Maximum Payroll / Budget</v>
      </c>
      <c r="B5" s="2" t="n">
        <f>B4*(1+B12)</f>
        <v>11520000</v>
      </c>
    </row>
    <row r="6" ht="23" customHeight="1">
      <c r="A6" s="2" t="str">
        <v>Proposed Payroll</v>
      </c>
      <c r="B6" s="2" t="n">
        <f>SUM('Detail'!Q2:Q6)</f>
        <v>11520000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11520000</v>
      </c>
    </row>
    <row r="9" ht="23" customHeight="1">
      <c r="A9" s="2" t="str">
        <v>Budget Remaining</v>
      </c>
      <c r="B9" s="2" t="n">
        <f>B5-B8</f>
        <v>0</v>
      </c>
    </row>
    <row r="10" ht="23" customHeight="1">
      <c r="A10" s="2" t="str">
        <v>Budget Utilization %</v>
      </c>
      <c r="B10" s="7" t="n">
        <f>B8/B5</f>
        <v>1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0.28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D4CE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A001</v>
      </c>
      <c r="B2" s="2" t="str">
        <v>Team Alpha</v>
      </c>
      <c r="C2" s="2" t="str">
        <v>Associate</v>
      </c>
      <c r="D2" s="2" t="n">
        <v>1</v>
      </c>
      <c r="E2" s="2" t="str">
        <v>Associate</v>
      </c>
      <c r="F2" s="2" t="n">
        <v>1</v>
      </c>
      <c r="G2" s="2" t="n">
        <v>2</v>
      </c>
      <c r="H2" s="2" t="n">
        <v>1400000</v>
      </c>
      <c r="I2" s="2" t="n">
        <v>2160000</v>
      </c>
      <c r="J2" s="8" t="n">
        <v>0.6481481481481481</v>
      </c>
      <c r="K2" s="7" t="n">
        <v>0.08</v>
      </c>
      <c r="L2" s="7" t="n">
        <v>0</v>
      </c>
      <c r="M2" s="7" t="n">
        <v>0</v>
      </c>
      <c r="N2" s="7" t="n">
        <v>0.0588</v>
      </c>
      <c r="O2" s="7" t="n">
        <v>0.2352</v>
      </c>
      <c r="P2" s="7" t="n">
        <v>0.374</v>
      </c>
      <c r="Q2" s="2" t="n">
        <v>1923600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0.374</v>
      </c>
      <c r="T2" s="2" t="n">
        <f>ROUND(H2*(1+S2),-2)</f>
        <v>1923600</v>
      </c>
      <c r="U2" s="8" t="n">
        <f>IF(I2="","",T2/I2)</f>
        <v>0.8905555555555555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1512000</v>
      </c>
      <c r="Y2" s="2" t="str"/>
      <c r="Z2" s="2" t="str">
        <v>L-A</v>
      </c>
      <c r="AA2" s="2" t="b">
        <f>R2&lt;&gt;0</f>
        <v>0</v>
      </c>
    </row>
    <row r="3" ht="23" customHeight="1">
      <c r="A3" s="2" t="str">
        <v>A002</v>
      </c>
      <c r="B3" s="2" t="str">
        <v>Team Alpha</v>
      </c>
      <c r="C3" s="2" t="str">
        <v>Associate</v>
      </c>
      <c r="D3" s="2" t="n">
        <v>2</v>
      </c>
      <c r="E3" s="2" t="str">
        <v>Associate</v>
      </c>
      <c r="F3" s="2" t="n">
        <v>2</v>
      </c>
      <c r="G3" s="2" t="n">
        <v>3</v>
      </c>
      <c r="H3" s="2" t="n">
        <v>1600000</v>
      </c>
      <c r="I3" s="2" t="n">
        <v>2160000</v>
      </c>
      <c r="J3" s="8" t="n">
        <v>0.7407407407407407</v>
      </c>
      <c r="K3" s="7" t="n">
        <v>0.08</v>
      </c>
      <c r="L3" s="7" t="n">
        <v>0</v>
      </c>
      <c r="M3" s="7" t="n">
        <v>0</v>
      </c>
      <c r="N3" s="7" t="n">
        <v>0.1176</v>
      </c>
      <c r="O3" s="7" t="n">
        <v>0.1176</v>
      </c>
      <c r="P3" s="7" t="n">
        <v>0.3152</v>
      </c>
      <c r="Q3" s="2" t="n">
        <v>2104300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0.3152</v>
      </c>
      <c r="T3" s="2" t="n">
        <f>ROUND(H3*(1+S3),-2)</f>
        <v>2104300</v>
      </c>
      <c r="U3" s="8" t="n">
        <f>IF(I3="","",T3/I3)</f>
        <v>0.974212962962963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0.08</v>
      </c>
      <c r="X3" s="2" t="n">
        <v>1728000</v>
      </c>
      <c r="Y3" s="2" t="str"/>
      <c r="Z3" s="2" t="str">
        <v>L-A</v>
      </c>
      <c r="AA3" s="2" t="b">
        <f>R3&lt;&gt;0</f>
        <v>0</v>
      </c>
    </row>
    <row r="4" ht="23" customHeight="1">
      <c r="A4" s="2" t="str">
        <v>A003</v>
      </c>
      <c r="B4" s="2" t="str">
        <v>Team Alpha</v>
      </c>
      <c r="C4" s="2" t="str">
        <v>Senior</v>
      </c>
      <c r="D4" s="2" t="n">
        <v>2</v>
      </c>
      <c r="E4" s="2" t="str">
        <v>Senior</v>
      </c>
      <c r="F4" s="2" t="n">
        <v>2</v>
      </c>
      <c r="G4" s="2" t="n">
        <v>4</v>
      </c>
      <c r="H4" s="2" t="n">
        <v>1800000</v>
      </c>
      <c r="I4" s="2" t="n">
        <v>2160000</v>
      </c>
      <c r="J4" s="8" t="n">
        <v>0.8333333333333334</v>
      </c>
      <c r="K4" s="7" t="n">
        <v>0.08</v>
      </c>
      <c r="L4" s="7" t="n">
        <v>0</v>
      </c>
      <c r="M4" s="7" t="n">
        <v>0</v>
      </c>
      <c r="N4" s="7" t="n">
        <v>0.2352</v>
      </c>
      <c r="O4" s="7" t="n">
        <v>0</v>
      </c>
      <c r="P4" s="7" t="n">
        <v>0.3152</v>
      </c>
      <c r="Q4" s="2" t="n">
        <v>2367400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0.3152</v>
      </c>
      <c r="T4" s="2" t="n">
        <f>ROUND(H4*(1+S4),-2)</f>
        <v>2367400</v>
      </c>
      <c r="U4" s="8" t="n">
        <f>IF(I4="","",T4/I4)</f>
        <v>1.0960185185185185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1944000</v>
      </c>
      <c r="Y4" s="2" t="str"/>
      <c r="Z4" s="2" t="str">
        <v>L-A</v>
      </c>
      <c r="AA4" s="2" t="b">
        <f>R4&lt;&gt;0</f>
        <v>0</v>
      </c>
    </row>
    <row r="5" ht="23" customHeight="1">
      <c r="A5" s="2" t="str">
        <v>A004</v>
      </c>
      <c r="B5" s="2" t="str">
        <v>Team Alpha</v>
      </c>
      <c r="C5" s="2" t="str">
        <v>Supervisor</v>
      </c>
      <c r="D5" s="2" t="n">
        <v>1</v>
      </c>
      <c r="E5" s="2" t="str">
        <v>Supervisor</v>
      </c>
      <c r="F5" s="2" t="n">
        <v>1</v>
      </c>
      <c r="G5" s="2" t="n">
        <v>1</v>
      </c>
      <c r="H5" s="2" t="n">
        <v>2000000</v>
      </c>
      <c r="I5" s="2" t="n">
        <v>2160000</v>
      </c>
      <c r="J5" s="8" t="n">
        <v>0.9259259259259259</v>
      </c>
      <c r="K5" s="7" t="n">
        <v>0.08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0.08</v>
      </c>
      <c r="Q5" s="2" t="n">
        <v>2160000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0.08</v>
      </c>
      <c r="T5" s="2" t="n">
        <f>ROUND(H5*(1+S5),-2)</f>
        <v>2160000</v>
      </c>
      <c r="U5" s="8" t="n">
        <f>IF(I5="","",T5/I5)</f>
        <v>1</v>
      </c>
      <c r="V5" s="2" t="str">
        <f>Y5&amp;IF(AND(ISNUMBER(R5),R5&gt;='Summary'!$B$13,R5&lt;='Summary'!$B$14,ROUND(R5,4)=R5,ROUND(P5+R5,4)&gt;=W5,ROUND(H5*(1+ROUND(P5+R5,4)),-2)&gt;=X5),"",";INVALID_ADJUSTMENT")</f>
      </c>
      <c r="W5" s="7" t="n">
        <v>0.08</v>
      </c>
      <c r="X5" s="2" t="n">
        <v>2160000</v>
      </c>
      <c r="Y5" s="2" t="str"/>
      <c r="Z5" s="2" t="str">
        <v>L-A</v>
      </c>
      <c r="AA5" s="2" t="b">
        <f>R5&lt;&gt;0</f>
        <v>0</v>
      </c>
    </row>
    <row r="6" ht="23" customHeight="1">
      <c r="A6" s="2" t="str">
        <v>A005</v>
      </c>
      <c r="B6" s="2" t="str">
        <v>Team Alpha</v>
      </c>
      <c r="C6" s="2" t="str">
        <v>Manager</v>
      </c>
      <c r="D6" s="2" t="n">
        <v>2</v>
      </c>
      <c r="E6" s="2" t="str">
        <v>Senior Manager</v>
      </c>
      <c r="F6" s="2" t="n">
        <v>1</v>
      </c>
      <c r="G6" s="2" t="n">
        <v>5</v>
      </c>
      <c r="H6" s="2" t="n">
        <v>2200000</v>
      </c>
      <c r="I6" s="2" t="n">
        <v>3200000</v>
      </c>
      <c r="J6" s="8" t="n">
        <v>0.6875</v>
      </c>
      <c r="K6" s="7" t="n">
        <v>0.08</v>
      </c>
      <c r="L6" s="7" t="n">
        <v>0.15</v>
      </c>
      <c r="M6" s="7" t="n">
        <v>0</v>
      </c>
      <c r="N6" s="7" t="n">
        <v>0</v>
      </c>
      <c r="O6" s="7" t="n">
        <v>0.1176</v>
      </c>
      <c r="P6" s="7" t="n">
        <v>0.3476</v>
      </c>
      <c r="Q6" s="2" t="n">
        <v>2964700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0.3476</v>
      </c>
      <c r="T6" s="2" t="n">
        <f>ROUND(H6*(1+S6),-2)</f>
        <v>2964700</v>
      </c>
      <c r="U6" s="8" t="n">
        <f>IF(I6="","",T6/I6)</f>
        <v>0.92646875</v>
      </c>
      <c r="V6" s="2" t="str">
        <f>Y6&amp;IF(AND(ISNUMBER(R6),R6&gt;='Summary'!$B$13,R6&lt;='Summary'!$B$14,ROUND(R6,4)=R6,ROUND(P6+R6,4)&gt;=W6,ROUND(H6*(1+ROUND(P6+R6,4)),-2)&gt;=X6),"",";INVALID_ADJUSTMENT")</f>
      </c>
      <c r="W6" s="7" t="n">
        <v>0.23</v>
      </c>
      <c r="X6" s="2" t="n">
        <v>2706000</v>
      </c>
      <c r="Y6" s="2" t="str"/>
      <c r="Z6" s="2" t="str">
        <v>L-A</v>
      </c>
      <c r="AA6" s="2" t="b">
        <f>R6&lt;&gt;0</f>
        <v>0</v>
      </c>
    </row>
  </sheetData>
  <sheetProtection password="D4CE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