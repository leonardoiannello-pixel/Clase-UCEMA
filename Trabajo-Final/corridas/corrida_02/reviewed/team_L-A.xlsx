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9-12\files-pasted-by-the-user-estoy\work\Clase-UCEMA\Trabajo-Final\ejecuciones\corrida_02_devoluciones_20260912T221754742175Z\"/>
    </mc:Choice>
  </mc:AlternateContent>
  <xr:revisionPtr revIDLastSave="0" documentId="13_ncr:1_{1D468104-84C4-4944-B3E9-253F9E98887F}" xr6:coauthVersionLast="47" xr6:coauthVersionMax="47" xr10:uidLastSave="{00000000-0000-0000-0000-000000000000}"/>
  <workbookProtection workbookPassword="D4CE" lockStructure="1"/>
  <bookViews>
    <workbookView xWindow="20370" yWindow="-120" windowWidth="20730" windowHeight="11040" activeTab="1" xr2:uid="{00000000-000D-0000-FFFF-FFFF00000000}"/>
  </bookViews>
  <sheets>
    <sheet name="Summary" sheetId="1" r:id="rId1"/>
    <sheet name="Detail" sheetId="2" r:id="rId2"/>
  </sheets>
  <calcPr calcId="181029"/>
</workbook>
</file>

<file path=xl/calcChain.xml><?xml version="1.0" encoding="utf-8"?>
<calcChain xmlns="http://schemas.openxmlformats.org/spreadsheetml/2006/main">
  <c r="AA6" i="2" l="1"/>
  <c r="V6" i="2"/>
  <c r="S6" i="2"/>
  <c r="T6" i="2" s="1"/>
  <c r="U6" i="2" s="1"/>
  <c r="AA5" i="2"/>
  <c r="V5" i="2"/>
  <c r="S5" i="2"/>
  <c r="T5" i="2" s="1"/>
  <c r="U5" i="2" s="1"/>
  <c r="AA4" i="2"/>
  <c r="V4" i="2"/>
  <c r="S4" i="2"/>
  <c r="T4" i="2" s="1"/>
  <c r="U4" i="2" s="1"/>
  <c r="AA3" i="2"/>
  <c r="V3" i="2"/>
  <c r="S3" i="2"/>
  <c r="T3" i="2" s="1"/>
  <c r="U3" i="2" s="1"/>
  <c r="AA2" i="2"/>
  <c r="V2" i="2"/>
  <c r="S2" i="2"/>
  <c r="T2" i="2" s="1"/>
  <c r="B6" i="1"/>
  <c r="B4" i="1"/>
  <c r="B5" i="1" s="1"/>
  <c r="B8" i="1" l="1"/>
  <c r="B9" i="1" s="1"/>
  <c r="U2" i="2"/>
  <c r="B11" i="1" l="1"/>
  <c r="B10" i="1"/>
  <c r="B7" i="1"/>
</calcChain>
</file>

<file path=xl/sharedStrings.xml><?xml version="1.0" encoding="utf-8"?>
<sst xmlns="http://schemas.openxmlformats.org/spreadsheetml/2006/main" count="81" uniqueCount="65">
  <si>
    <t>Salary review V4</t>
  </si>
  <si>
    <t>Team Alpha</t>
  </si>
  <si>
    <t>Dataset</t>
  </si>
  <si>
    <t>SYNTHETIC DEMO</t>
  </si>
  <si>
    <t>Reviewer_ID</t>
  </si>
  <si>
    <t>L-A</t>
  </si>
  <si>
    <t>Team Payroll June</t>
  </si>
  <si>
    <t>Maximum Payroll / Budget</t>
  </si>
  <si>
    <t>Proposed Payroll</t>
  </si>
  <si>
    <t>Discretionary Adjustment Amount</t>
  </si>
  <si>
    <t>Final Payroll</t>
  </si>
  <si>
    <t>Budget Remaining</t>
  </si>
  <si>
    <t>Budget Utilization %</t>
  </si>
  <si>
    <t>Budget Status</t>
  </si>
  <si>
    <t>Budget %</t>
  </si>
  <si>
    <t>Discretionary_Min_Pct</t>
  </si>
  <si>
    <t>Discretionary_Max_Pct</t>
  </si>
  <si>
    <t>Final approval</t>
  </si>
  <si>
    <t>PENDING_HUMAN_APPROVAL</t>
  </si>
  <si>
    <t>Instructions</t>
  </si>
  <si>
    <t>Edit only yellow Discretionary Adjustment % cells.</t>
  </si>
  <si>
    <t>Protection</t>
  </si>
  <si>
    <t>Prevents accidental edits. No encryption or access control.</t>
  </si>
  <si>
    <t>Parameters</t>
  </si>
  <si>
    <t>DEMO limits and leadership budget require business approval.</t>
  </si>
  <si>
    <t>Budget utilization definition</t>
  </si>
  <si>
    <t>Final Payroll / Maximum Payroll</t>
  </si>
  <si>
    <t>Invalid adjustments</t>
  </si>
  <si>
    <t>Invalid input blocks final amounts until corrected.</t>
  </si>
  <si>
    <t>Employee_ID</t>
  </si>
  <si>
    <t>Team</t>
  </si>
  <si>
    <t>Current Rank</t>
  </si>
  <si>
    <t>Current Grade</t>
  </si>
  <si>
    <t>New Rank</t>
  </si>
  <si>
    <t>New Grade</t>
  </si>
  <si>
    <t>Performance Rating</t>
  </si>
  <si>
    <t>June Salary</t>
  </si>
  <si>
    <t>Market Reference</t>
  </si>
  <si>
    <t>Initial Compa Ratio</t>
  </si>
  <si>
    <t>General %</t>
  </si>
  <si>
    <t>Promotion %</t>
  </si>
  <si>
    <t>Progression %</t>
  </si>
  <si>
    <t>Merit %</t>
  </si>
  <si>
    <t>Market %</t>
  </si>
  <si>
    <t>Proposed Increase %</t>
  </si>
  <si>
    <t>Proposed Salary</t>
  </si>
  <si>
    <t>Discretionary Adjustment %</t>
  </si>
  <si>
    <t>Final Increase %</t>
  </si>
  <si>
    <t>Final Salary</t>
  </si>
  <si>
    <t>Final Compa Ratio</t>
  </si>
  <si>
    <t>Flags</t>
  </si>
  <si>
    <t>Protected Increase %</t>
  </si>
  <si>
    <t>Protected Salary</t>
  </si>
  <si>
    <t>Original Flags</t>
  </si>
  <si>
    <t>Human Modified</t>
  </si>
  <si>
    <t>A001</t>
  </si>
  <si>
    <t>Associate</t>
  </si>
  <si>
    <t>A002</t>
  </si>
  <si>
    <t>A003</t>
  </si>
  <si>
    <t>Senior</t>
  </si>
  <si>
    <t>A004</t>
  </si>
  <si>
    <t>Supervisor</t>
  </si>
  <si>
    <t>A005</t>
  </si>
  <si>
    <t>Manager</t>
  </si>
  <si>
    <t>Senior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</si>
</sst>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/>
    <xf numFmtId="3" fontId="2" fillId="2" borderId="0" xfId="0" applyNumberFormat="1" applyFont="1" applyFill="1" applyAlignment="1">
      <alignment wrapText="1"/>
    </xf>
    <xf numFmtId="3" fontId="1" fillId="0" borderId="0" xfId="0" applyNumberFormat="1" applyFont="1" applyAlignment="1">
      <alignment wrapText="1"/>
    </xf>
    <xf numFmtId="10" fontId="1" fillId="0" borderId="0" xfId="0" applyNumberFormat="1" applyFont="1"/>
    <xf numFmtId="164" fontId="1" fillId="0" borderId="0" xfId="0" applyNumberFormat="1" applyFont="1"/>
    <xf numFmtId="10" fontId="1" fillId="3" borderId="0" xfId="0" applyNumberFormat="1" applyFont="1" applyFill="1" applyProtection="1">
      <protection locked="0"/>
    </xf>
  </cellXfs>
  <cellStyles count="1">
    <cellStyle name="Normal" xfId="0" builtinId="0"/>
  </cellStyles>
  <dxfs count="2">
    <dxf>
      <fill>
        <patternFill patternType="solid">
          <bgColor rgb="FFE2EFDA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workbookViewId="0"/>
  </sheetViews>
  <sheetFormatPr defaultRowHeight="14.25"/>
  <cols>
    <col min="1" max="1" width="44" customWidth="1"/>
    <col min="2" max="2" width="76" customWidth="1"/>
  </cols>
  <sheetData>
    <row r="1" spans="1:2" ht="63.95" customHeight="1">
      <c r="A1" s="2" t="s">
        <v>0</v>
      </c>
      <c r="B1" s="2" t="s">
        <v>1</v>
      </c>
    </row>
    <row r="2" spans="1:2" ht="23.1" customHeight="1">
      <c r="A2" s="1" t="s">
        <v>2</v>
      </c>
      <c r="B2" s="1" t="s">
        <v>3</v>
      </c>
    </row>
    <row r="3" spans="1:2" ht="23.1" customHeight="1">
      <c r="A3" s="1" t="s">
        <v>4</v>
      </c>
      <c r="B3" s="1" t="s">
        <v>5</v>
      </c>
    </row>
    <row r="4" spans="1:2" ht="23.1" customHeight="1">
      <c r="A4" s="1" t="s">
        <v>6</v>
      </c>
      <c r="B4" s="1">
        <f>SUM(Detail!H2:H6)</f>
        <v>9000000</v>
      </c>
    </row>
    <row r="5" spans="1:2" ht="23.1" customHeight="1">
      <c r="A5" s="1" t="s">
        <v>7</v>
      </c>
      <c r="B5" s="1">
        <f>B4*(1+B12)</f>
        <v>11520000</v>
      </c>
    </row>
    <row r="6" spans="1:2" ht="23.1" customHeight="1">
      <c r="A6" s="1" t="s">
        <v>8</v>
      </c>
      <c r="B6" s="1">
        <f>SUM(Detail!Q2:Q6)</f>
        <v>11520000</v>
      </c>
    </row>
    <row r="7" spans="1:2" ht="23.1" customHeight="1">
      <c r="A7" s="1" t="s">
        <v>9</v>
      </c>
      <c r="B7" s="1">
        <f>B8-B6</f>
        <v>14000</v>
      </c>
    </row>
    <row r="8" spans="1:2" ht="23.1" customHeight="1">
      <c r="A8" s="1" t="s">
        <v>10</v>
      </c>
      <c r="B8" s="1">
        <f>SUM(Detail!T2:T6)</f>
        <v>11534000</v>
      </c>
    </row>
    <row r="9" spans="1:2" ht="23.1" customHeight="1">
      <c r="A9" s="1" t="s">
        <v>11</v>
      </c>
      <c r="B9" s="1">
        <f>B5-B8</f>
        <v>-14000</v>
      </c>
    </row>
    <row r="10" spans="1:2" ht="23.1" customHeight="1">
      <c r="A10" s="1" t="s">
        <v>12</v>
      </c>
      <c r="B10" s="4">
        <f>B8/B5</f>
        <v>1.0012152777777779</v>
      </c>
    </row>
    <row r="11" spans="1:2" ht="23.1" customHeight="1">
      <c r="A11" s="1" t="s">
        <v>13</v>
      </c>
      <c r="B11" s="1" t="str">
        <f>IF(ISERROR(B8),"INVALID",IF(B8&gt;B5,"EXCEEDED","OK"))</f>
        <v>EXCEEDED</v>
      </c>
    </row>
    <row r="12" spans="1:2" ht="23.1" customHeight="1">
      <c r="A12" s="1" t="s">
        <v>14</v>
      </c>
      <c r="B12" s="4">
        <v>0.28000000000000003</v>
      </c>
    </row>
    <row r="13" spans="1:2" ht="23.1" customHeight="1">
      <c r="A13" s="1" t="s">
        <v>15</v>
      </c>
      <c r="B13" s="4">
        <v>-0.05</v>
      </c>
    </row>
    <row r="14" spans="1:2" ht="23.1" customHeight="1">
      <c r="A14" s="1" t="s">
        <v>16</v>
      </c>
      <c r="B14" s="4">
        <v>0.05</v>
      </c>
    </row>
    <row r="15" spans="1:2" ht="23.1" customHeight="1">
      <c r="A15" s="1" t="s">
        <v>17</v>
      </c>
      <c r="B15" s="1" t="s">
        <v>18</v>
      </c>
    </row>
    <row r="16" spans="1:2" ht="33.950000000000003" customHeight="1">
      <c r="A16" s="1" t="s">
        <v>19</v>
      </c>
      <c r="B16" s="3" t="s">
        <v>20</v>
      </c>
    </row>
    <row r="17" spans="1:2" ht="33.950000000000003" customHeight="1">
      <c r="A17" s="1" t="s">
        <v>21</v>
      </c>
      <c r="B17" s="3" t="s">
        <v>22</v>
      </c>
    </row>
    <row r="18" spans="1:2" ht="33.950000000000003" customHeight="1">
      <c r="A18" s="1" t="s">
        <v>23</v>
      </c>
      <c r="B18" s="3" t="s">
        <v>24</v>
      </c>
    </row>
    <row r="19" spans="1:2" ht="33.950000000000003" customHeight="1">
      <c r="A19" s="1" t="s">
        <v>25</v>
      </c>
      <c r="B19" s="3" t="s">
        <v>26</v>
      </c>
    </row>
    <row r="20" spans="1:2" ht="33.950000000000003" customHeight="1">
      <c r="A20" s="1" t="s">
        <v>27</v>
      </c>
      <c r="B20" s="3" t="s">
        <v>28</v>
      </c>
    </row>
  </sheetData>
  <sheetProtection password="D4CE" sheet="1" objects="1" scenarios="1"/>
  <conditionalFormatting sqref="B11">
    <cfRule type="containsText" dxfId="1" priority="1" operator="containsText" text="EXCEEDED"/>
    <cfRule type="containsText" dxfId="0" priority="2" operator="containsText" text="OK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"/>
  <sheetViews>
    <sheetView showGridLines="0" tabSelected="1" topLeftCell="M1" workbookViewId="0">
      <pane ySplit="1" topLeftCell="A2" activePane="bottomLeft" state="frozen"/>
      <selection pane="bottomLeft" activeCell="R2" sqref="R2"/>
    </sheetView>
  </sheetViews>
  <sheetFormatPr defaultRowHeight="14.25"/>
  <cols>
    <col min="1" max="2" width="19" customWidth="1"/>
    <col min="3" max="3" width="28" customWidth="1"/>
    <col min="4" max="4" width="19" customWidth="1"/>
    <col min="5" max="5" width="28" customWidth="1"/>
    <col min="6" max="21" width="19" customWidth="1"/>
    <col min="22" max="22" width="38" customWidth="1"/>
    <col min="23" max="24" width="19" customWidth="1"/>
    <col min="25" max="25" width="32" customWidth="1"/>
    <col min="26" max="27" width="19" customWidth="1"/>
  </cols>
  <sheetData>
    <row r="1" spans="1:27" ht="63.95" customHeight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  <c r="Z1" s="2" t="s">
        <v>4</v>
      </c>
      <c r="AA1" s="2" t="s">
        <v>54</v>
      </c>
    </row>
    <row r="2" spans="1:27" ht="23.1" customHeight="1">
      <c r="A2" s="1" t="s">
        <v>55</v>
      </c>
      <c r="B2" s="1" t="s">
        <v>1</v>
      </c>
      <c r="C2" s="1" t="s">
        <v>56</v>
      </c>
      <c r="D2" s="1">
        <v>1</v>
      </c>
      <c r="E2" s="1" t="s">
        <v>56</v>
      </c>
      <c r="F2" s="1">
        <v>1</v>
      </c>
      <c r="G2" s="1">
        <v>2</v>
      </c>
      <c r="H2" s="1">
        <v>1400000</v>
      </c>
      <c r="I2" s="1">
        <v>2160000</v>
      </c>
      <c r="J2" s="5">
        <v>0.64814814814814814</v>
      </c>
      <c r="K2" s="4">
        <v>0.08</v>
      </c>
      <c r="L2" s="4">
        <v>0</v>
      </c>
      <c r="M2" s="4">
        <v>0</v>
      </c>
      <c r="N2" s="4">
        <v>5.8799999999999998E-2</v>
      </c>
      <c r="O2" s="4">
        <v>0.23519999999999999</v>
      </c>
      <c r="P2" s="4">
        <v>0.374</v>
      </c>
      <c r="Q2" s="1">
        <v>1923600</v>
      </c>
      <c r="R2" s="6">
        <v>0.01</v>
      </c>
      <c r="S2" s="4">
        <f>IF(AND(ISNUMBER(R2),R2&gt;=Summary!$B$13,R2&lt;=Summary!$B$14,ROUND(R2,4)=R2,ROUND(P2+R2,4)&gt;=W2,ROUND(H2*(1+ROUND(P2+R2,4)),-2)&gt;=X2),ROUND(P2+R2,4),NA())</f>
        <v>0.38400000000000001</v>
      </c>
      <c r="T2" s="1">
        <f>ROUND(H2*(1+S2),-2)</f>
        <v>1937600</v>
      </c>
      <c r="U2" s="5">
        <f>IF(I2="","",T2/I2)</f>
        <v>0.89703703703703708</v>
      </c>
      <c r="V2" s="1" t="str">
        <f>Y2&amp;IF(AND(ISNUMBER(R2),R2&gt;=Summary!$B$13,R2&lt;=Summary!$B$14,ROUND(R2,4)=R2,ROUND(P2+R2,4)&gt;=W2,ROUND(H2*(1+ROUND(P2+R2,4)),-2)&gt;=X2),"",";INVALID_ADJUSTMENT")</f>
        <v/>
      </c>
      <c r="W2" s="4">
        <v>0.08</v>
      </c>
      <c r="X2" s="1">
        <v>1512000</v>
      </c>
      <c r="Y2" s="1"/>
      <c r="Z2" s="1" t="s">
        <v>5</v>
      </c>
      <c r="AA2" s="1" t="b">
        <f>R2&lt;&gt;0</f>
        <v>1</v>
      </c>
    </row>
    <row r="3" spans="1:27" ht="23.1" customHeight="1">
      <c r="A3" s="1" t="s">
        <v>57</v>
      </c>
      <c r="B3" s="1" t="s">
        <v>1</v>
      </c>
      <c r="C3" s="1" t="s">
        <v>56</v>
      </c>
      <c r="D3" s="1">
        <v>2</v>
      </c>
      <c r="E3" s="1" t="s">
        <v>56</v>
      </c>
      <c r="F3" s="1">
        <v>2</v>
      </c>
      <c r="G3" s="1">
        <v>3</v>
      </c>
      <c r="H3" s="1">
        <v>1600000</v>
      </c>
      <c r="I3" s="1">
        <v>2160000</v>
      </c>
      <c r="J3" s="5">
        <v>0.7407407407407407</v>
      </c>
      <c r="K3" s="4">
        <v>0.08</v>
      </c>
      <c r="L3" s="4">
        <v>0</v>
      </c>
      <c r="M3" s="4">
        <v>0</v>
      </c>
      <c r="N3" s="4">
        <v>0.1176</v>
      </c>
      <c r="O3" s="4">
        <v>0.1176</v>
      </c>
      <c r="P3" s="4">
        <v>0.31519999999999998</v>
      </c>
      <c r="Q3" s="1">
        <v>2104300</v>
      </c>
      <c r="R3" s="6">
        <v>0</v>
      </c>
      <c r="S3" s="4">
        <f>IF(AND(ISNUMBER(R3),R3&gt;=Summary!$B$13,R3&lt;=Summary!$B$14,ROUND(R3,4)=R3,ROUND(P3+R3,4)&gt;=W3,ROUND(H3*(1+ROUND(P3+R3,4)),-2)&gt;=X3),ROUND(P3+R3,4),NA())</f>
        <v>0.31519999999999998</v>
      </c>
      <c r="T3" s="1">
        <f>ROUND(H3*(1+S3),-2)</f>
        <v>2104300</v>
      </c>
      <c r="U3" s="5">
        <f>IF(I3="","",T3/I3)</f>
        <v>0.974212962962963</v>
      </c>
      <c r="V3" s="1" t="str">
        <f>Y3&amp;IF(AND(ISNUMBER(R3),R3&gt;=Summary!$B$13,R3&lt;=Summary!$B$14,ROUND(R3,4)=R3,ROUND(P3+R3,4)&gt;=W3,ROUND(H3*(1+ROUND(P3+R3,4)),-2)&gt;=X3),"",";INVALID_ADJUSTMENT")</f>
        <v/>
      </c>
      <c r="W3" s="4">
        <v>0.08</v>
      </c>
      <c r="X3" s="1">
        <v>1728000</v>
      </c>
      <c r="Y3" s="1"/>
      <c r="Z3" s="1" t="s">
        <v>5</v>
      </c>
      <c r="AA3" s="1" t="b">
        <f>R3&lt;&gt;0</f>
        <v>0</v>
      </c>
    </row>
    <row r="4" spans="1:27" ht="23.1" customHeight="1">
      <c r="A4" s="1" t="s">
        <v>58</v>
      </c>
      <c r="B4" s="1" t="s">
        <v>1</v>
      </c>
      <c r="C4" s="1" t="s">
        <v>59</v>
      </c>
      <c r="D4" s="1">
        <v>2</v>
      </c>
      <c r="E4" s="1" t="s">
        <v>59</v>
      </c>
      <c r="F4" s="1">
        <v>2</v>
      </c>
      <c r="G4" s="1">
        <v>4</v>
      </c>
      <c r="H4" s="1">
        <v>1800000</v>
      </c>
      <c r="I4" s="1">
        <v>2160000</v>
      </c>
      <c r="J4" s="5">
        <v>0.83333333333333337</v>
      </c>
      <c r="K4" s="4">
        <v>0.08</v>
      </c>
      <c r="L4" s="4">
        <v>0</v>
      </c>
      <c r="M4" s="4">
        <v>0</v>
      </c>
      <c r="N4" s="4">
        <v>0.23519999999999999</v>
      </c>
      <c r="O4" s="4">
        <v>0</v>
      </c>
      <c r="P4" s="4">
        <v>0.31519999999999998</v>
      </c>
      <c r="Q4" s="1">
        <v>2367400</v>
      </c>
      <c r="R4" s="6">
        <v>0</v>
      </c>
      <c r="S4" s="4">
        <f>IF(AND(ISNUMBER(R4),R4&gt;=Summary!$B$13,R4&lt;=Summary!$B$14,ROUND(R4,4)=R4,ROUND(P4+R4,4)&gt;=W4,ROUND(H4*(1+ROUND(P4+R4,4)),-2)&gt;=X4),ROUND(P4+R4,4),NA())</f>
        <v>0.31519999999999998</v>
      </c>
      <c r="T4" s="1">
        <f>ROUND(H4*(1+S4),-2)</f>
        <v>2367400</v>
      </c>
      <c r="U4" s="5">
        <f>IF(I4="","",T4/I4)</f>
        <v>1.0960185185185185</v>
      </c>
      <c r="V4" s="1" t="str">
        <f>Y4&amp;IF(AND(ISNUMBER(R4),R4&gt;=Summary!$B$13,R4&lt;=Summary!$B$14,ROUND(R4,4)=R4,ROUND(P4+R4,4)&gt;=W4,ROUND(H4*(1+ROUND(P4+R4,4)),-2)&gt;=X4),"",";INVALID_ADJUSTMENT")</f>
        <v/>
      </c>
      <c r="W4" s="4">
        <v>0.08</v>
      </c>
      <c r="X4" s="1">
        <v>1944000</v>
      </c>
      <c r="Y4" s="1"/>
      <c r="Z4" s="1" t="s">
        <v>5</v>
      </c>
      <c r="AA4" s="1" t="b">
        <f>R4&lt;&gt;0</f>
        <v>0</v>
      </c>
    </row>
    <row r="5" spans="1:27" ht="23.1" customHeight="1">
      <c r="A5" s="1" t="s">
        <v>60</v>
      </c>
      <c r="B5" s="1" t="s">
        <v>1</v>
      </c>
      <c r="C5" s="1" t="s">
        <v>61</v>
      </c>
      <c r="D5" s="1">
        <v>1</v>
      </c>
      <c r="E5" s="1" t="s">
        <v>61</v>
      </c>
      <c r="F5" s="1">
        <v>1</v>
      </c>
      <c r="G5" s="1">
        <v>1</v>
      </c>
      <c r="H5" s="1">
        <v>2000000</v>
      </c>
      <c r="I5" s="1">
        <v>2160000</v>
      </c>
      <c r="J5" s="5">
        <v>0.92592592592592593</v>
      </c>
      <c r="K5" s="4">
        <v>0.08</v>
      </c>
      <c r="L5" s="4">
        <v>0</v>
      </c>
      <c r="M5" s="4">
        <v>0</v>
      </c>
      <c r="N5" s="4">
        <v>0</v>
      </c>
      <c r="O5" s="4">
        <v>0</v>
      </c>
      <c r="P5" s="4">
        <v>0.08</v>
      </c>
      <c r="Q5" s="1">
        <v>2160000</v>
      </c>
      <c r="R5" s="6">
        <v>0</v>
      </c>
      <c r="S5" s="4">
        <f>IF(AND(ISNUMBER(R5),R5&gt;=Summary!$B$13,R5&lt;=Summary!$B$14,ROUND(R5,4)=R5,ROUND(P5+R5,4)&gt;=W5,ROUND(H5*(1+ROUND(P5+R5,4)),-2)&gt;=X5),ROUND(P5+R5,4),NA())</f>
        <v>0.08</v>
      </c>
      <c r="T5" s="1">
        <f>ROUND(H5*(1+S5),-2)</f>
        <v>2160000</v>
      </c>
      <c r="U5" s="5">
        <f>IF(I5="","",T5/I5)</f>
        <v>1</v>
      </c>
      <c r="V5" s="1" t="str">
        <f>Y5&amp;IF(AND(ISNUMBER(R5),R5&gt;=Summary!$B$13,R5&lt;=Summary!$B$14,ROUND(R5,4)=R5,ROUND(P5+R5,4)&gt;=W5,ROUND(H5*(1+ROUND(P5+R5,4)),-2)&gt;=X5),"",";INVALID_ADJUSTMENT")</f>
        <v/>
      </c>
      <c r="W5" s="4">
        <v>0.08</v>
      </c>
      <c r="X5" s="1">
        <v>2160000</v>
      </c>
      <c r="Y5" s="1"/>
      <c r="Z5" s="1" t="s">
        <v>5</v>
      </c>
      <c r="AA5" s="1" t="b">
        <f>R5&lt;&gt;0</f>
        <v>0</v>
      </c>
    </row>
    <row r="6" spans="1:27" ht="23.1" customHeight="1">
      <c r="A6" s="1" t="s">
        <v>62</v>
      </c>
      <c r="B6" s="1" t="s">
        <v>1</v>
      </c>
      <c r="C6" s="1" t="s">
        <v>63</v>
      </c>
      <c r="D6" s="1">
        <v>2</v>
      </c>
      <c r="E6" s="1" t="s">
        <v>64</v>
      </c>
      <c r="F6" s="1">
        <v>1</v>
      </c>
      <c r="G6" s="1">
        <v>5</v>
      </c>
      <c r="H6" s="1">
        <v>2200000</v>
      </c>
      <c r="I6" s="1">
        <v>3200000</v>
      </c>
      <c r="J6" s="5">
        <v>0.6875</v>
      </c>
      <c r="K6" s="4">
        <v>0.08</v>
      </c>
      <c r="L6" s="4">
        <v>0.15</v>
      </c>
      <c r="M6" s="4">
        <v>0</v>
      </c>
      <c r="N6" s="4">
        <v>0</v>
      </c>
      <c r="O6" s="4">
        <v>0.1176</v>
      </c>
      <c r="P6" s="4">
        <v>0.34760000000000002</v>
      </c>
      <c r="Q6" s="1">
        <v>2964700</v>
      </c>
      <c r="R6" s="6">
        <v>0</v>
      </c>
      <c r="S6" s="4">
        <f>IF(AND(ISNUMBER(R6),R6&gt;=Summary!$B$13,R6&lt;=Summary!$B$14,ROUND(R6,4)=R6,ROUND(P6+R6,4)&gt;=W6,ROUND(H6*(1+ROUND(P6+R6,4)),-2)&gt;=X6),ROUND(P6+R6,4),NA())</f>
        <v>0.34760000000000002</v>
      </c>
      <c r="T6" s="1">
        <f>ROUND(H6*(1+S6),-2)</f>
        <v>2964700</v>
      </c>
      <c r="U6" s="5">
        <f>IF(I6="","",T6/I6)</f>
        <v>0.92646874999999995</v>
      </c>
      <c r="V6" s="1" t="str">
        <f>Y6&amp;IF(AND(ISNUMBER(R6),R6&gt;=Summary!$B$13,R6&lt;=Summary!$B$14,ROUND(R6,4)=R6,ROUND(P6+R6,4)&gt;=W6,ROUND(H6*(1+ROUND(P6+R6,4)),-2)&gt;=X6),"",";INVALID_ADJUSTMENT")</f>
        <v/>
      </c>
      <c r="W6" s="4">
        <v>0.23</v>
      </c>
      <c r="X6" s="1">
        <v>2706000</v>
      </c>
      <c r="Y6" s="1"/>
      <c r="Z6" s="1" t="s">
        <v>5</v>
      </c>
      <c r="AA6" s="1" t="b">
        <f>R6&lt;&gt;0</f>
        <v>0</v>
      </c>
    </row>
  </sheetData>
  <sheetProtection password="D4CE" sheet="1" objects="1" scenarios="1"/>
  <dataValidations count="1">
    <dataValidation type="custom" showErrorMessage="1" errorTitle="Invalid adjustment" error="Use two decimal percent precision, configured limits and protected floor." sqref="R2:R6" xr:uid="{00000000-0002-0000-0100-000000000000}">
      <formula1>AND(ISNUMBER(R2),R2&gt;=INDIRECT("Summary!B13"),R2&lt;=INDIRECT("Summary!B14"),ROUND(R2,4)=R2,ROUND(P2+R2,4)&gt;=W2,ROUND(H2*(1+ROUND(P2+R2,4)),-2)&gt;=X2)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Iannello</cp:lastModifiedBy>
  <dcterms:modified xsi:type="dcterms:W3CDTF">2026-09-12T22:20:48Z</dcterms:modified>
</cp:coreProperties>
</file>