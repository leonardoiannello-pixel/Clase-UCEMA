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2f9a841ea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" sheetId="1" r:id="Ra7ca539b13a54fa7"/>
    <x:sheet xmlns:r="http://schemas.openxmlformats.org/officeDocument/2006/relationships" name="Summary" sheetId="2" r:id="R1da2f875e182479f"/>
  </x:sheets>
</x:workbook>
</file>

<file path=xl/comments1.xml><?xml version="1.0" encoding="utf-8"?>
<x:comments xmlns:x="http://schemas.openxmlformats.org/spreadsheetml/2006/main">
  <x:authors>
    <x:author>tc={819E0E63-55C6-27DA-2597-CEF6EB7494F0}</x:author>
  </x:authors>
  <x:commentList>
    <x:comment ref="B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V3: X continuo resuelto con lógica V2; luego redondeado a 0.01 puntos porcentuales y reducido en pasos de 0.01 pp si el payroll de salarios redondeados a ARS 100 excedía el máximo. Reducciones aplicadas: 0.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ARS&quot; #,##0"/>
    <x:numFmt numFmtId="201" formatCode="0.000"/>
    <x:numFmt numFmtId="202" formatCode="0.00%"/>
    <x:numFmt numFmtId="203" formatCode="0.0"/>
  </x:numFmts>
  <x:fonts count="7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Aptos"/>
    </x:font>
    <x:font>
      <x:sz val="11"/>
      <x:color rgb="FF1F2937"/>
      <x:name val="Aptos"/>
    </x:font>
    <x:font>
      <x:b/>
      <x:sz val="11"/>
      <x:color rgb="FF37562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E2F0D9"/>
      </x:patternFill>
    </x:fill>
  </x:fills>
  <x:borders count="5">
    <x:border/>
    <x:border>
      <x:bottom style="medium">
        <x:color rgb="FF0B1F33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2" xfId="0" applyNumberFormat="1" applyFont="1" applyFill="1" applyBorder="1"/>
    <x:xf numFmtId="0" fontId="5" fillId="0" borderId="2" xfId="0" applyNumberFormat="1" applyFont="1" applyFill="1" applyBorder="1"/>
    <x:xf numFmtId="0" fontId="4" fillId="3" borderId="3" xfId="0" applyNumberFormat="1" applyFont="1" applyFill="1" applyBorder="1"/>
    <x:xf numFmtId="0" fontId="5" fillId="0" borderId="3" xfId="0" applyNumberFormat="1" applyFont="1" applyFill="1" applyBorder="1"/>
    <x:xf numFmtId="0" fontId="4" fillId="3" borderId="4" xfId="0" applyNumberFormat="1" applyFont="1" applyFill="1" applyBorder="1"/>
    <x:xf numFmtId="0" fontId="5" fillId="0" borderId="4" xfId="0" applyNumberFormat="1" applyFont="1" applyFill="1" applyBorder="1"/>
    <x:xf numFmtId="200" fontId="5" fillId="0" borderId="3" xfId="0" applyNumberFormat="1" applyFont="1" applyFill="1" applyBorder="1"/>
    <x:xf numFmtId="202" fontId="5" fillId="0" borderId="3" xfId="0" applyNumberFormat="1" applyFont="1" applyFill="1" applyBorder="1"/>
    <x:xf numFmtId="202" fontId="5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4" borderId="2" xfId="0" applyNumberFormat="1" applyFont="1" applyFill="1" applyBorder="1"/>
    <x:xf numFmtId="0" fontId="0" fillId="4" borderId="4" xfId="0" applyNumberFormat="1" applyFont="1" applyFill="1" applyBorder="1"/>
    <x:xf numFmtId="0" fontId="6" fillId="4" borderId="2" xfId="0" applyNumberFormat="1" applyFont="1" applyFill="1" applyBorder="1"/>
    <x:xf numFmtId="0" fontId="6" fillId="4" borderId="4" xfId="0" applyNumberFormat="1" applyFont="1" applyFill="1" applyBorder="1"/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10071d11844db" /><Relationship Type="http://schemas.openxmlformats.org/officeDocument/2006/relationships/theme" Target="/xl/theme/theme1.xml" Id="Re628c0ecac7443a3" /><Relationship Type="http://schemas.openxmlformats.org/officeDocument/2006/relationships/sharedStrings" Target="/xl/sharedStrings.xml" Id="R0a1c411558414752" /><Relationship Type="http://schemas.openxmlformats.org/officeDocument/2006/relationships/worksheet" Target="/xl/worksheets/sheet1.xml" Id="Ra7ca539b13a54fa7" /><Relationship Type="http://schemas.openxmlformats.org/officeDocument/2006/relationships/worksheet" Target="/xl/worksheets/sheet2.xml" Id="R1da2f875e182479f" /><Relationship Type="http://schemas.microsoft.com/office/2017/10/relationships/person" Target="/xl/persons/person.xml" Id="Rc321b4d325c249c9" /></Relationships>
</file>

<file path=xl/persons/person.xml><?xml version="1.0" encoding="utf-8"?>
<xltc:personList xmlns:xltc="http://schemas.microsoft.com/office/spreadsheetml/2018/threadedcomments">
  <xltc:person displayName="User" id="{86C857A4-1B57-4DC2-87A8-7BAA3862B23A}"/>
</xltc:personList>
</file>

<file path=xl/tables/table1.xml><?xml version="1.0" encoding="utf-8"?>
<x:table xmlns:x="http://schemas.openxmlformats.org/spreadsheetml/2006/main" id="1" name="Detail_Team_Alpha" displayName="Detail_Team_Alpha" ref="A1:AA6" headerRowCount="1" totalsRowCount="0" totalsRowShown="0">
  <x:tableColumns count="27">
    <x:tableColumn id="1" name="Employee_ID"/>
    <x:tableColumn id="2" name="Team"/>
    <x:tableColumn id="3" name="June_Base_Salary"/>
    <x:tableColumn id="4" name="Current_Rank"/>
    <x:tableColumn id="5" name="Current_Grade"/>
    <x:tableColumn id="6" name="New_Rank"/>
    <x:tableColumn id="7" name="New_Grade"/>
    <x:tableColumn id="8" name="Performance_Rating"/>
    <x:tableColumn id="9" name="Market_Job_Code"/>
    <x:tableColumn id="10" name="WTW_Reference_Salary"/>
    <x:tableColumn id="11" name="Initial_Compa_Ratio"/>
    <x:tableColumn id="12" name="General_Increase_Pct"/>
    <x:tableColumn id="13" name="Promotion_Increase_Pct"/>
    <x:tableColumn id="14" name="Progression_Increase_Pct"/>
    <x:tableColumn id="15" name="Protected_Increase_Pct"/>
    <x:tableColumn id="16" name="Protected_Salary"/>
    <x:tableColumn id="17" name="Preliminary_Compa_Ratio"/>
    <x:tableColumn id="18" name="Merit_Weight"/>
    <x:tableColumn id="19" name="Market_Weight"/>
    <x:tableColumn id="20" name="X"/>
    <x:tableColumn id="21" name="Merit_Increase_Pct"/>
    <x:tableColumn id="22" name="Market_Increase_Pct"/>
    <x:tableColumn id="23" name="Total_Increase_Pct"/>
    <x:tableColumn id="24" name="New_Salary"/>
    <x:tableColumn id="25" name="Final_Compa_Ratio"/>
    <x:tableColumn id="26" name="Compa_Ratio_Improvement"/>
    <x:tableColumn id="27" name="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1" dT="2026-08-27T01:25:34.488" personId="{86C857A4-1B57-4DC2-87A8-7BAA3862B23A}" id="{819E0E63-55C6-27DA-2597-CEF6EB7494F0}">
    <xltc:text>V3: X continuo resuelto con lógica V2; luego redondeado a 0.01 puntos porcentuales y reducido en pasos de 0.01 pp si el payroll de salarios redondeados a ARS 100 excedía el máximo. Reducciones aplicadas: 0.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9e7c3a8f674f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fa825eec4f645d6" /><Relationship Type="http://schemas.openxmlformats.org/officeDocument/2006/relationships/vmlDrawing" Target="/xl/drawings/vmldrawing.vml" Id="R9a67beca012e4b76" /><Relationship Type="http://schemas.microsoft.com/office/2017/10/relationships/threadedComment" Target="/xl/threadedcomments/threadedcomment.xml" Id="R3581f93b71184a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3" hidden="0" customWidth="1"/>
    <x:col min="6" max="6" width="16" hidden="0" customWidth="1"/>
    <x:col min="7" max="7" width="11" hidden="0" customWidth="1"/>
    <x:col min="8" max="8" width="17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22" hidden="0" customWidth="1"/>
    <x:col min="15" max="15" width="20" hidden="0" customWidth="1"/>
    <x:col min="16" max="16" width="18" hidden="0" customWidth="1"/>
    <x:col min="17" max="17" width="21" hidden="0" customWidth="1"/>
    <x:col min="18" max="18" width="13" hidden="0" customWidth="1"/>
    <x:col min="19" max="19" width="14" hidden="0" customWidth="1"/>
    <x:col min="20" max="20" width="13" hidden="0" customWidth="1"/>
    <x:col min="21" max="21" width="18" hidden="0" customWidth="1"/>
    <x:col min="22" max="22" width="19" hidden="0" customWidth="1"/>
    <x:col min="23" max="23" width="18" hidden="0" customWidth="1"/>
    <x:col min="24" max="24" width="18" hidden="0" customWidth="1"/>
    <x:col min="25" max="25" width="17" hidden="0" customWidth="1"/>
    <x:col min="26" max="26" width="22" hidden="0" customWidth="1"/>
    <x:col min="27" max="27" width="25" hidden="0" customWidth="1"/>
  </x:cols>
  <x:sheetData>
    <x:row r="1" ht="42" customHeight="1">
      <x:c r="A1" s="7" t="str">
        <x:v>Employee_ID</x:v>
      </x:c>
      <x:c r="B1" s="7" t="str">
        <x:v>Team</x:v>
      </x:c>
      <x:c r="C1" s="7" t="str">
        <x:v>June_Base_Salary</x:v>
      </x:c>
      <x:c r="D1" s="7" t="str">
        <x:v>Current_Rank</x:v>
      </x:c>
      <x:c r="E1" s="7" t="str">
        <x:v>Current_Grade</x:v>
      </x:c>
      <x:c r="F1" s="7" t="str">
        <x:v>New_Rank</x:v>
      </x:c>
      <x:c r="G1" s="7" t="str">
        <x:v>New_Grade</x:v>
      </x:c>
      <x:c r="H1" s="7" t="str">
        <x:v>Performance_Rating</x:v>
      </x:c>
      <x:c r="I1" s="7" t="str">
        <x:v>Market_Job_Code</x:v>
      </x:c>
      <x:c r="J1" s="7" t="str">
        <x:v>WTW_Reference_Salary</x:v>
      </x:c>
      <x:c r="K1" s="7" t="str">
        <x:v>Initial_Compa_Ratio</x:v>
      </x:c>
      <x:c r="L1" s="7" t="str">
        <x:v>General_Increase_Pct</x:v>
      </x:c>
      <x:c r="M1" s="7" t="str">
        <x:v>Promotion_Increase_Pct</x:v>
      </x:c>
      <x:c r="N1" s="7" t="str">
        <x:v>Progression_Increase_Pct</x:v>
      </x:c>
      <x:c r="O1" s="7" t="str">
        <x:v>Protected_Increase_Pct</x:v>
      </x:c>
      <x:c r="P1" s="7" t="str">
        <x:v>Protected_Salary</x:v>
      </x:c>
      <x:c r="Q1" s="7" t="str">
        <x:v>Preliminary_Compa_Ratio</x:v>
      </x:c>
      <x:c r="R1" s="7" t="str">
        <x:v>Merit_Weight</x:v>
      </x:c>
      <x:c r="S1" s="7" t="str">
        <x:v>Market_Weight</x:v>
      </x:c>
      <x:c r="T1" s="7" t="str">
        <x:v>X</x:v>
      </x:c>
      <x:c r="U1" s="7" t="str">
        <x:v>Merit_Increase_Pct</x:v>
      </x:c>
      <x:c r="V1" s="7" t="str">
        <x:v>Market_Increase_Pct</x:v>
      </x:c>
      <x:c r="W1" s="7" t="str">
        <x:v>Total_Increase_Pct</x:v>
      </x:c>
      <x:c r="X1" s="7" t="str">
        <x:v>New_Salary</x:v>
      </x:c>
      <x:c r="Y1" s="7" t="str">
        <x:v>Final_Compa_Ratio</x:v>
      </x:c>
      <x:c r="Z1" s="7" t="str">
        <x:v>Compa_Ratio_Improvement</x:v>
      </x:c>
      <x:c r="AA1" s="7" t="str">
        <x:v>Flag</x:v>
      </x:c>
    </x:row>
    <x:row r="2" ht="22" customHeight="1">
      <x:c r="A2" s="8" t="str">
        <x:v>A001</x:v>
      </x:c>
      <x:c r="B2" s="8" t="str">
        <x:v>Team Alpha</x:v>
      </x:c>
      <x:c r="C2" s="11" t="n">
        <x:v>1400000</x:v>
      </x:c>
      <x:c r="D2" s="8" t="str">
        <x:v>Associate</x:v>
      </x:c>
      <x:c r="E2" s="8" t="n">
        <x:v>1</x:v>
      </x:c>
      <x:c r="F2" s="8" t="str">
        <x:v>Associate</x:v>
      </x:c>
      <x:c r="G2" s="8" t="n">
        <x:v>1</x:v>
      </x:c>
      <x:c r="H2" s="8" t="n">
        <x:v>2</x:v>
      </x:c>
      <x:c r="I2" s="8" t="str">
        <x:v>MKT_BOUNDARY</x:v>
      </x:c>
      <x:c r="J2" s="11" t="n">
        <x:v>2160000</x:v>
      </x:c>
      <x:c r="K2" s="14" t="n">
        <x:f>IF(J2="","",C2/J2)</x:f>
        <x:v>0.6481481481481481</x:v>
      </x:c>
      <x:c r="L2" s="17" t="n">
        <x:v>0.08</x:v>
      </x:c>
      <x:c r="M2" s="17" t="n">
        <x:f>IF(D2&lt;&gt;F2,0.15,0)</x:f>
        <x:v>0</x:v>
      </x:c>
      <x:c r="N2" s="17" t="n">
        <x:f>IF(AND(D2=F2,G2&gt;E2),0.07,0)</x:f>
        <x:v>0</x:v>
      </x:c>
      <x:c r="O2" s="17" t="n">
        <x:f>ROUND(SUM(L2:N2),4)</x:f>
        <x:v>0.08</x:v>
      </x:c>
      <x:c r="P2" s="11" t="n">
        <x:f>C2*(1+O2)</x:f>
        <x:v>1512000</x:v>
      </x:c>
      <x:c r="Q2" s="14" t="n">
        <x:f>IF(J2="","",P2/J2)</x:f>
        <x:v>0.7</x:v>
      </x:c>
      <x:c r="R2" s="20" t="n">
        <x:f>IF(OR(M2&gt;0,N2&gt;0),0,IF(H2=1,0,IF(H2=2,0.5,IF(H2=3,1,IF(H2=4,2,IF(H2=5,4,0))))))</x:f>
        <x:v>0.5</x:v>
      </x:c>
      <x:c r="S2" s="20" t="n">
        <x:f>IF(J2="",0,IF((C2*(1+O2+U2)/J2)&lt;0.7,4,IF((C2*(1+O2+U2)/J2)&lt;0.8,2,IF((C2*(1+O2+U2)/J2)&lt;0.9,1,IF((C2*(1+O2+U2)/J2)&lt;1,0.5,0)))))</x:f>
        <x:v>2</x:v>
      </x:c>
      <x:c r="T2" s="17" t="n">
        <x:f>'Summary'!B11</x:f>
        <x:v>0.1176</x:v>
      </x:c>
      <x:c r="U2" s="17" t="n">
        <x:f>ROUND(R2*T2,4)</x:f>
        <x:v>0.0588</x:v>
      </x:c>
      <x:c r="V2" s="17" t="n">
        <x:f>IF(J2="",0,IF((C2*(1+O2+U2)/J2)&gt;=1,0,MIN(ROUND(S2*T2,4),ROUNDDOWN(MAX(0,(J2-C2*(1+O2+U2))/C2),4))))</x:f>
        <x:v>0.2352</x:v>
      </x:c>
      <x:c r="W2" s="17" t="n">
        <x:f>ROUND(X2/C2-1,4)</x:f>
        <x:v>0.374</x:v>
      </x:c>
      <x:c r="X2" s="11" t="n">
        <x:f>ROUND(C2*(1+O2+U2+V2)/100,0)*100</x:f>
        <x:v>1923600</x:v>
      </x:c>
      <x:c r="Y2" s="14" t="n">
        <x:f>IF(J2="","",X2/J2)</x:f>
        <x:v>0.8905555555555555</x:v>
      </x:c>
      <x:c r="Z2" s="14" t="n">
        <x:f>IF(J2="","",Y2-K2)</x:f>
        <x:v>0.2424074074074074</x:v>
      </x:c>
      <x:c r="AA2" s="8" t="str">
        <x:f>IF(J2="","MARKET_DATA_MISSING",IF('Summary'!B7&gt;'Summary'!B8,"BUDGET_INSUFICIENTE",IF(AND(D2=F2,G2&lt;E2),"MOVEMENT_REVIEW","")))</x:f>
      </x:c>
    </x:row>
    <x:row r="3" ht="22" customHeight="1">
      <x:c r="A3" s="9" t="str">
        <x:v>A002</x:v>
      </x:c>
      <x:c r="B3" s="9" t="str">
        <x:v>Team Alpha</x:v>
      </x:c>
      <x:c r="C3" s="12" t="n">
        <x:v>1600000</x:v>
      </x:c>
      <x:c r="D3" s="9" t="str">
        <x:v>Associate</x:v>
      </x:c>
      <x:c r="E3" s="9" t="n">
        <x:v>2</x:v>
      </x:c>
      <x:c r="F3" s="9" t="str">
        <x:v>Associate</x:v>
      </x:c>
      <x:c r="G3" s="9" t="n">
        <x:v>2</x:v>
      </x:c>
      <x:c r="H3" s="9" t="n">
        <x:v>3</x:v>
      </x:c>
      <x:c r="I3" s="9" t="str">
        <x:v>MKT_BOUNDARY</x:v>
      </x:c>
      <x:c r="J3" s="12" t="n">
        <x:v>2160000</x:v>
      </x:c>
      <x:c r="K3" s="15" t="n">
        <x:f>IF(J3="","",C3/J3)</x:f>
        <x:v>0.7407407407407407</x:v>
      </x:c>
      <x:c r="L3" s="18" t="n">
        <x:v>0.08</x:v>
      </x:c>
      <x:c r="M3" s="18" t="n">
        <x:f>IF(D3&lt;&gt;F3,0.15,0)</x:f>
        <x:v>0</x:v>
      </x:c>
      <x:c r="N3" s="18" t="n">
        <x:f>IF(AND(D3=F3,G3&gt;E3),0.07,0)</x:f>
        <x:v>0</x:v>
      </x:c>
      <x:c r="O3" s="18" t="n">
        <x:f>ROUND(SUM(L3:N3),4)</x:f>
        <x:v>0.08</x:v>
      </x:c>
      <x:c r="P3" s="12" t="n">
        <x:f>C3*(1+O3)</x:f>
        <x:v>1728000</x:v>
      </x:c>
      <x:c r="Q3" s="15" t="n">
        <x:f>IF(J3="","",P3/J3)</x:f>
        <x:v>0.8</x:v>
      </x:c>
      <x:c r="R3" s="21" t="n">
        <x:f>IF(OR(M3&gt;0,N3&gt;0),0,IF(H3=1,0,IF(H3=2,0.5,IF(H3=3,1,IF(H3=4,2,IF(H3=5,4,0))))))</x:f>
        <x:v>1</x:v>
      </x:c>
      <x:c r="S3" s="21" t="n">
        <x:f>IF(J3="",0,IF((C3*(1+O3+U3)/J3)&lt;0.7,4,IF((C3*(1+O3+U3)/J3)&lt;0.8,2,IF((C3*(1+O3+U3)/J3)&lt;0.9,1,IF((C3*(1+O3+U3)/J3)&lt;1,0.5,0)))))</x:f>
        <x:v>1</x:v>
      </x:c>
      <x:c r="T3" s="18" t="n">
        <x:f>'Summary'!B11</x:f>
        <x:v>0.1176</x:v>
      </x:c>
      <x:c r="U3" s="18" t="n">
        <x:f>ROUND(R3*T3,4)</x:f>
        <x:v>0.1176</x:v>
      </x:c>
      <x:c r="V3" s="18" t="n">
        <x:f>IF(J3="",0,IF((C3*(1+O3+U3)/J3)&gt;=1,0,MIN(ROUND(S3*T3,4),ROUNDDOWN(MAX(0,(J3-C3*(1+O3+U3))/C3),4))))</x:f>
        <x:v>0.1176</x:v>
      </x:c>
      <x:c r="W3" s="18" t="n">
        <x:f>ROUND(X3/C3-1,4)</x:f>
        <x:v>0.3152</x:v>
      </x:c>
      <x:c r="X3" s="12" t="n">
        <x:f>ROUND(C3*(1+O3+U3+V3)/100,0)*100</x:f>
        <x:v>2104300</x:v>
      </x:c>
      <x:c r="Y3" s="15" t="n">
        <x:f>IF(J3="","",X3/J3)</x:f>
        <x:v>0.974212962962963</x:v>
      </x:c>
      <x:c r="Z3" s="15" t="n">
        <x:f>IF(J3="","",Y3-K3)</x:f>
        <x:v>0.2334722222222223</x:v>
      </x:c>
      <x:c r="AA3" s="9" t="str">
        <x:f>IF(J3="","MARKET_DATA_MISSING",IF('Summary'!B7&gt;'Summary'!B8,"BUDGET_INSUFICIENTE",IF(AND(D3=F3,G3&lt;E3),"MOVEMENT_REVIEW","")))</x:f>
      </x:c>
    </x:row>
    <x:row r="4" ht="22" customHeight="1">
      <x:c r="A4" s="9" t="str">
        <x:v>A003</x:v>
      </x:c>
      <x:c r="B4" s="9" t="str">
        <x:v>Team Alpha</x:v>
      </x:c>
      <x:c r="C4" s="12" t="n">
        <x:v>1800000</x:v>
      </x:c>
      <x:c r="D4" s="9" t="str">
        <x:v>Senior</x:v>
      </x:c>
      <x:c r="E4" s="9" t="n">
        <x:v>2</x:v>
      </x:c>
      <x:c r="F4" s="9" t="str">
        <x:v>Senior</x:v>
      </x:c>
      <x:c r="G4" s="9" t="n">
        <x:v>2</x:v>
      </x:c>
      <x:c r="H4" s="9" t="n">
        <x:v>4</x:v>
      </x:c>
      <x:c r="I4" s="9" t="str">
        <x:v>MKT_BOUNDARY</x:v>
      </x:c>
      <x:c r="J4" s="12" t="n">
        <x:v>2160000</x:v>
      </x:c>
      <x:c r="K4" s="15" t="n">
        <x:f>IF(J4="","",C4/J4)</x:f>
        <x:v>0.8333333333333334</x:v>
      </x:c>
      <x:c r="L4" s="18" t="n">
        <x:v>0.08</x:v>
      </x:c>
      <x:c r="M4" s="18" t="n">
        <x:f>IF(D4&lt;&gt;F4,0.15,0)</x:f>
        <x:v>0</x:v>
      </x:c>
      <x:c r="N4" s="18" t="n">
        <x:f>IF(AND(D4=F4,G4&gt;E4),0.07,0)</x:f>
        <x:v>0</x:v>
      </x:c>
      <x:c r="O4" s="18" t="n">
        <x:f>ROUND(SUM(L4:N4),4)</x:f>
        <x:v>0.08</x:v>
      </x:c>
      <x:c r="P4" s="12" t="n">
        <x:f>C4*(1+O4)</x:f>
        <x:v>1944000.0000000002</x:v>
      </x:c>
      <x:c r="Q4" s="15" t="n">
        <x:f>IF(J4="","",P4/J4)</x:f>
        <x:v>0.9000000000000001</x:v>
      </x:c>
      <x:c r="R4" s="21" t="n">
        <x:f>IF(OR(M4&gt;0,N4&gt;0),0,IF(H4=1,0,IF(H4=2,0.5,IF(H4=3,1,IF(H4=4,2,IF(H4=5,4,0))))))</x:f>
        <x:v>2</x:v>
      </x:c>
      <x:c r="S4" s="21" t="n">
        <x:f>IF(J4="",0,IF((C4*(1+O4+U4)/J4)&lt;0.7,4,IF((C4*(1+O4+U4)/J4)&lt;0.8,2,IF((C4*(1+O4+U4)/J4)&lt;0.9,1,IF((C4*(1+O4+U4)/J4)&lt;1,0.5,0)))))</x:f>
        <x:v>0</x:v>
      </x:c>
      <x:c r="T4" s="18" t="n">
        <x:f>'Summary'!B11</x:f>
        <x:v>0.1176</x:v>
      </x:c>
      <x:c r="U4" s="18" t="n">
        <x:f>ROUND(R4*T4,4)</x:f>
        <x:v>0.2352</x:v>
      </x:c>
      <x:c r="V4" s="18" t="n">
        <x:f>IF(J4="",0,IF((C4*(1+O4+U4)/J4)&gt;=1,0,MIN(ROUND(S4*T4,4),ROUNDDOWN(MAX(0,(J4-C4*(1+O4+U4))/C4),4))))</x:f>
        <x:v>0</x:v>
      </x:c>
      <x:c r="W4" s="18" t="n">
        <x:f>ROUND(X4/C4-1,4)</x:f>
        <x:v>0.3152</x:v>
      </x:c>
      <x:c r="X4" s="12" t="n">
        <x:f>ROUND(C4*(1+O4+U4+V4)/100,0)*100</x:f>
        <x:v>2367400</x:v>
      </x:c>
      <x:c r="Y4" s="15" t="n">
        <x:f>IF(J4="","",X4/J4)</x:f>
        <x:v>1.0960185185185185</x:v>
      </x:c>
      <x:c r="Z4" s="15" t="n">
        <x:f>IF(J4="","",Y4-K4)</x:f>
        <x:v>0.26268518518518513</x:v>
      </x:c>
      <x:c r="AA4" s="9" t="str">
        <x:f>IF(J4="","MARKET_DATA_MISSING",IF('Summary'!B7&gt;'Summary'!B8,"BUDGET_INSUFICIENTE",IF(AND(D4=F4,G4&lt;E4),"MOVEMENT_REVIEW","")))</x:f>
      </x:c>
    </x:row>
    <x:row r="5" ht="22" customHeight="1">
      <x:c r="A5" s="9" t="str">
        <x:v>A004</x:v>
      </x:c>
      <x:c r="B5" s="9" t="str">
        <x:v>Team Alpha</x:v>
      </x:c>
      <x:c r="C5" s="12" t="n">
        <x:v>2000000</x:v>
      </x:c>
      <x:c r="D5" s="9" t="str">
        <x:v>Supervisor</x:v>
      </x:c>
      <x:c r="E5" s="9" t="n">
        <x:v>1</x:v>
      </x:c>
      <x:c r="F5" s="9" t="str">
        <x:v>Supervisor</x:v>
      </x:c>
      <x:c r="G5" s="9" t="n">
        <x:v>1</x:v>
      </x:c>
      <x:c r="H5" s="9" t="n">
        <x:v>1</x:v>
      </x:c>
      <x:c r="I5" s="9" t="str">
        <x:v>MKT_BOUNDARY</x:v>
      </x:c>
      <x:c r="J5" s="12" t="n">
        <x:v>2160000</x:v>
      </x:c>
      <x:c r="K5" s="15" t="n">
        <x:f>IF(J5="","",C5/J5)</x:f>
        <x:v>0.9259259259259259</x:v>
      </x:c>
      <x:c r="L5" s="18" t="n">
        <x:v>0.08</x:v>
      </x:c>
      <x:c r="M5" s="18" t="n">
        <x:f>IF(D5&lt;&gt;F5,0.15,0)</x:f>
        <x:v>0</x:v>
      </x:c>
      <x:c r="N5" s="18" t="n">
        <x:f>IF(AND(D5=F5,G5&gt;E5),0.07,0)</x:f>
        <x:v>0</x:v>
      </x:c>
      <x:c r="O5" s="18" t="n">
        <x:f>ROUND(SUM(L5:N5),4)</x:f>
        <x:v>0.08</x:v>
      </x:c>
      <x:c r="P5" s="12" t="n">
        <x:f>C5*(1+O5)</x:f>
        <x:v>2160000</x:v>
      </x:c>
      <x:c r="Q5" s="15" t="n">
        <x:f>IF(J5="","",P5/J5)</x:f>
        <x:v>1</x:v>
      </x:c>
      <x:c r="R5" s="21" t="n">
        <x:f>IF(OR(M5&gt;0,N5&gt;0),0,IF(H5=1,0,IF(H5=2,0.5,IF(H5=3,1,IF(H5=4,2,IF(H5=5,4,0))))))</x:f>
        <x:v>0</x:v>
      </x:c>
      <x:c r="S5" s="21" t="n">
        <x:f>IF(J5="",0,IF((C5*(1+O5+U5)/J5)&lt;0.7,4,IF((C5*(1+O5+U5)/J5)&lt;0.8,2,IF((C5*(1+O5+U5)/J5)&lt;0.9,1,IF((C5*(1+O5+U5)/J5)&lt;1,0.5,0)))))</x:f>
        <x:v>0</x:v>
      </x:c>
      <x:c r="T5" s="18" t="n">
        <x:f>'Summary'!B11</x:f>
        <x:v>0.1176</x:v>
      </x:c>
      <x:c r="U5" s="18" t="n">
        <x:f>ROUND(R5*T5,4)</x:f>
        <x:v>0</x:v>
      </x:c>
      <x:c r="V5" s="18" t="n">
        <x:f>IF(J5="",0,IF((C5*(1+O5+U5)/J5)&gt;=1,0,MIN(ROUND(S5*T5,4),ROUNDDOWN(MAX(0,(J5-C5*(1+O5+U5))/C5),4))))</x:f>
        <x:v>0</x:v>
      </x:c>
      <x:c r="W5" s="18" t="n">
        <x:f>ROUND(X5/C5-1,4)</x:f>
        <x:v>0.08</x:v>
      </x:c>
      <x:c r="X5" s="12" t="n">
        <x:f>ROUND(C5*(1+O5+U5+V5)/100,0)*100</x:f>
        <x:v>2160000</x:v>
      </x:c>
      <x:c r="Y5" s="15" t="n">
        <x:f>IF(J5="","",X5/J5)</x:f>
        <x:v>1</x:v>
      </x:c>
      <x:c r="Z5" s="15" t="n">
        <x:f>IF(J5="","",Y5-K5)</x:f>
        <x:v>0.07407407407407407</x:v>
      </x:c>
      <x:c r="AA5" s="9" t="str">
        <x:f>IF(J5="","MARKET_DATA_MISSING",IF('Summary'!B7&gt;'Summary'!B8,"BUDGET_INSUFICIENTE",IF(AND(D5=F5,G5&lt;E5),"MOVEMENT_REVIEW","")))</x:f>
      </x:c>
    </x:row>
    <x:row r="6" ht="22" customHeight="1">
      <x:c r="A6" s="10" t="str">
        <x:v>A005</x:v>
      </x:c>
      <x:c r="B6" s="10" t="str">
        <x:v>Team Alpha</x:v>
      </x:c>
      <x:c r="C6" s="13" t="n">
        <x:v>2200000</x:v>
      </x:c>
      <x:c r="D6" s="10" t="str">
        <x:v>Manager</x:v>
      </x:c>
      <x:c r="E6" s="10" t="n">
        <x:v>2</x:v>
      </x:c>
      <x:c r="F6" s="10" t="str">
        <x:v>Senior Manager</x:v>
      </x:c>
      <x:c r="G6" s="10" t="n">
        <x:v>1</x:v>
      </x:c>
      <x:c r="H6" s="10" t="n">
        <x:v>5</x:v>
      </x:c>
      <x:c r="I6" s="10" t="str">
        <x:v>MKT_A_PROMO</x:v>
      </x:c>
      <x:c r="J6" s="13" t="n">
        <x:v>3200000</x:v>
      </x:c>
      <x:c r="K6" s="16" t="n">
        <x:f>IF(J6="","",C6/J6)</x:f>
        <x:v>0.6875</x:v>
      </x:c>
      <x:c r="L6" s="19" t="n">
        <x:v>0.08</x:v>
      </x:c>
      <x:c r="M6" s="19" t="n">
        <x:f>IF(D6&lt;&gt;F6,0.15,0)</x:f>
        <x:v>0.15</x:v>
      </x:c>
      <x:c r="N6" s="19" t="n">
        <x:f>IF(AND(D6=F6,G6&gt;E6),0.07,0)</x:f>
        <x:v>0</x:v>
      </x:c>
      <x:c r="O6" s="19" t="n">
        <x:f>ROUND(SUM(L6:N6),4)</x:f>
        <x:v>0.23</x:v>
      </x:c>
      <x:c r="P6" s="13" t="n">
        <x:f>C6*(1+O6)</x:f>
        <x:v>2706000</x:v>
      </x:c>
      <x:c r="Q6" s="16" t="n">
        <x:f>IF(J6="","",P6/J6)</x:f>
        <x:v>0.845625</x:v>
      </x:c>
      <x:c r="R6" s="22" t="n">
        <x:f>IF(OR(M6&gt;0,N6&gt;0),0,IF(H6=1,0,IF(H6=2,0.5,IF(H6=3,1,IF(H6=4,2,IF(H6=5,4,0))))))</x:f>
        <x:v>0</x:v>
      </x:c>
      <x:c r="S6" s="22" t="n">
        <x:f>IF(J6="",0,IF((C6*(1+O6+U6)/J6)&lt;0.7,4,IF((C6*(1+O6+U6)/J6)&lt;0.8,2,IF((C6*(1+O6+U6)/J6)&lt;0.9,1,IF((C6*(1+O6+U6)/J6)&lt;1,0.5,0)))))</x:f>
        <x:v>1</x:v>
      </x:c>
      <x:c r="T6" s="19" t="n">
        <x:f>'Summary'!B11</x:f>
        <x:v>0.1176</x:v>
      </x:c>
      <x:c r="U6" s="19" t="n">
        <x:f>ROUND(R6*T6,4)</x:f>
        <x:v>0</x:v>
      </x:c>
      <x:c r="V6" s="19" t="n">
        <x:f>IF(J6="",0,IF((C6*(1+O6+U6)/J6)&gt;=1,0,MIN(ROUND(S6*T6,4),ROUNDDOWN(MAX(0,(J6-C6*(1+O6+U6))/C6),4))))</x:f>
        <x:v>0.1176</x:v>
      </x:c>
      <x:c r="W6" s="19" t="n">
        <x:f>ROUND(X6/C6-1,4)</x:f>
        <x:v>0.3476</x:v>
      </x:c>
      <x:c r="X6" s="13" t="n">
        <x:f>ROUND(C6*(1+O6+U6+V6)/100,0)*100</x:f>
        <x:v>2964700</x:v>
      </x:c>
      <x:c r="Y6" s="16" t="n">
        <x:f>IF(J6="","",X6/J6)</x:f>
        <x:v>0.92646875</x:v>
      </x:c>
      <x:c r="Z6" s="16" t="n">
        <x:f>IF(J6="","",Y6-K6)</x:f>
        <x:v>0.23896874999999995</x:v>
      </x:c>
      <x:c r="AA6" s="10" t="str">
        <x:f>IF(J6="","MARKET_DATA_MISSING",IF('Summary'!B7&gt;'Summary'!B8,"BUDGET_INSUFICIENTE",IF(AND(D6=F6,G6&lt;E6),"MOVEMENT_REVIEW","")))</x:f>
      </x:c>
    </x:row>
  </x:sheetData>
  <x:conditionalFormatting sqref="AA2:AA6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e99e7c3a8f674f4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</x:cols>
  <x:sheetData>
    <x:row r="1" ht="34" customHeight="1">
      <x:c r="A1" s="26" t="str">
        <x:v>Salary Review V3 — Team Summary</x:v>
      </x:c>
      <x:c r="B1" s="26"/>
    </x:row>
    <x:row r="3" ht="24" customHeight="1">
      <x:c r="A3" s="30" t="str">
        <x:v>Team</x:v>
      </x:c>
      <x:c r="B3" s="31" t="str">
        <x:v>Team Alpha</x:v>
      </x:c>
    </x:row>
    <x:row r="4" ht="24" customHeight="1">
      <x:c r="A4" s="32" t="str">
        <x:v>Employees_Processed</x:v>
      </x:c>
      <x:c r="B4" s="33" t="n">
        <x:f>COUNTA('Detail'!A2:A6)</x:f>
        <x:v>5</x:v>
      </x:c>
    </x:row>
    <x:row r="5" ht="24" customHeight="1">
      <x:c r="A5" s="32" t="str">
        <x:v>Leaders_Excluded</x:v>
      </x:c>
      <x:c r="B5" s="33" t="n">
        <x:v>1</x:v>
      </x:c>
    </x:row>
    <x:row r="6" ht="24" customHeight="1">
      <x:c r="A6" s="32" t="str">
        <x:v>Current_Payroll</x:v>
      </x:c>
      <x:c r="B6" s="36" t="n">
        <x:f>SUM('Detail'!C2:C6)</x:f>
        <x:v>9000000</x:v>
      </x:c>
    </x:row>
    <x:row r="7" ht="24" customHeight="1">
      <x:c r="A7" s="32" t="str">
        <x:v>Protected_Payroll</x:v>
      </x:c>
      <x:c r="B7" s="36" t="n">
        <x:f>SUM('Detail'!P2:P6)</x:f>
        <x:v>10050000</x:v>
      </x:c>
    </x:row>
    <x:row r="8" ht="24" customHeight="1">
      <x:c r="A8" s="32" t="str">
        <x:v>Maximum_Payroll</x:v>
      </x:c>
      <x:c r="B8" s="36" t="n">
        <x:f>B6*(1+B9)</x:f>
        <x:v>11520000</x:v>
      </x:c>
    </x:row>
    <x:row r="9" ht="24" customHeight="1">
      <x:c r="A9" s="32" t="str">
        <x:v>Team_Budget_Pct</x:v>
      </x:c>
      <x:c r="B9" s="37" t="n">
        <x:v>0.28</x:v>
      </x:c>
    </x:row>
    <x:row r="10" ht="24" customHeight="1">
      <x:c r="A10" s="32" t="str">
        <x:v>Budget_Available_For_Merit_And_Market</x:v>
      </x:c>
      <x:c r="B10" s="36" t="n">
        <x:f>B8-B7</x:f>
        <x:v>1470000</x:v>
      </x:c>
    </x:row>
    <x:row r="11" ht="24" customHeight="1">
      <x:c r="A11" s="32" t="str">
        <x:v>Calculated_X</x:v>
      </x:c>
      <x:c r="B11" s="37" t="n">
        <x:v>0.1176</x:v>
      </x:c>
    </x:row>
    <x:row r="12" ht="24" customHeight="1">
      <x:c r="A12" s="32" t="str">
        <x:v>Proposed_Payroll</x:v>
      </x:c>
      <x:c r="B12" s="36" t="n">
        <x:f>SUM('Detail'!X2:X6)</x:f>
        <x:v>11520000</x:v>
      </x:c>
    </x:row>
    <x:row r="13" ht="24" customHeight="1">
      <x:c r="A13" s="32" t="str">
        <x:v>Proposed_Payroll_Increase_Pct</x:v>
      </x:c>
      <x:c r="B13" s="37" t="n">
        <x:f>ROUND(B12/B6-1,4)</x:f>
        <x:v>0.28</x:v>
      </x:c>
    </x:row>
    <x:row r="14" ht="24" customHeight="1">
      <x:c r="A14" s="32" t="str">
        <x:v>Budget_Remaining_or_Excess</x:v>
      </x:c>
      <x:c r="B14" s="36" t="n">
        <x:f>B8-B12</x:f>
        <x:v>0</x:v>
      </x:c>
    </x:row>
    <x:row r="15" ht="24" customHeight="1">
      <x:c r="A15" s="32" t="str">
        <x:v>Promotions</x:v>
      </x:c>
      <x:c r="B15" s="33" t="n">
        <x:f>COUNTIF('Detail'!M2:M6,"&gt;0")</x:f>
        <x:v>1</x:v>
      </x:c>
    </x:row>
    <x:row r="16" ht="24" customHeight="1">
      <x:c r="A16" s="32" t="str">
        <x:v>Progressions</x:v>
      </x:c>
      <x:c r="B16" s="33" t="n">
        <x:f>COUNTIF('Detail'!N2:N6,"&gt;0")</x:f>
        <x:v>0</x:v>
      </x:c>
    </x:row>
    <x:row r="17" ht="24" customHeight="1">
      <x:c r="A17" s="32" t="str">
        <x:v>Employees_With_Flags</x:v>
      </x:c>
      <x:c r="B17" s="33" t="n">
        <x:f>COUNTIF('Detail'!AA2:AA6,"MARKET_DATA_MISSING")+COUNTIF('Detail'!AA2:AA6,"BUDGET_INSUFICIENTE")+COUNTIF('Detail'!AA2:AA6,"MOVEMENT_REVIEW")</x:f>
        <x:v>0</x:v>
      </x:c>
    </x:row>
    <x:row r="18" ht="24" customHeight="1">
      <x:c r="A18" s="32" t="str">
        <x:v>Exception_Required</x:v>
      </x:c>
      <x:c r="B18" s="33" t="str">
        <x:f>IF(B7&gt;B8,"YES","NO")</x:f>
        <x:v>NO</x:v>
      </x:c>
    </x:row>
    <x:row r="19" ht="24" customHeight="1">
      <x:c r="A19" s="32" t="str">
        <x:v>Additional_Budget_Required_Amount</x:v>
      </x:c>
      <x:c r="B19" s="36" t="n">
        <x:f>MAX(0,B7-B8)</x:f>
        <x:v>0</x:v>
      </x:c>
    </x:row>
    <x:row r="20" ht="24" customHeight="1">
      <x:c r="A20" s="34" t="str">
        <x:v>Additional_Budget_Required_Pct_Points</x:v>
      </x:c>
      <x:c r="B20" s="38" t="n">
        <x:f>ROUND(B19/B6,4)</x:f>
        <x:v>0</x:v>
      </x:c>
    </x:row>
    <x:row r="22">
      <x:c r="A22" s="43" t="str">
        <x:v>Control_New_Salary_MOD_100</x:v>
      </x:c>
      <x:c r="B22" s="39" t="str">
        <x:f>IF(SUM(MOD('Detail'!X2,100),MOD('Detail'!X3,100),MOD('Detail'!X4,100),MOD('Detail'!X5,100),MOD('Detail'!X6,100))=0,"PASS","FAIL")</x:f>
        <x:v>PASS</x:v>
      </x:c>
    </x:row>
    <x:row r="23">
      <x:c r="A23" s="44" t="str">
        <x:v>Employees_Failing_MOD_100</x:v>
      </x:c>
      <x:c r="B23" s="40" t="n">
        <x:f>IF(MOD('Detail'!X2,100)&lt;&gt;0,1,0)+IF(MOD('Detail'!X3,100)&lt;&gt;0,1,0)+IF(MOD('Detail'!X4,100)&lt;&gt;0,1,0)+IF(MOD('Detail'!X5,100)&lt;&gt;0,1,0)+IF(MOD('Detail'!X6,100)&lt;&gt;0,1,0)</x:f>
        <x:v>0</x:v>
      </x:c>
    </x:row>
  </x:sheetData>
  <x:mergeCells>
    <x:mergeCell ref="A1:B1"/>
  </x:mergeCells>
  <x:conditionalFormatting sqref="B18:B18">
    <x:cfRule type="containsText" dxfId="1" priority="1" operator="containsText" text="YES"/>
  </x:conditionalFormatting>
  <x:pageMargins left="0.7" right="0.7" top="0.75" bottom="0.75" header="0.3" footer="0.3"/>
  <x:legacyDrawing xmlns:r="http://schemas.openxmlformats.org/officeDocument/2006/relationships" r:id="R9a67beca012e4b76"/>
</x:worksheet>
</file>