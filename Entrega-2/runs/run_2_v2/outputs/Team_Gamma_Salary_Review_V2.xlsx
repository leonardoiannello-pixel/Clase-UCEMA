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97cd148b5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bbe0b00a492441cf"/>
    <x:sheet xmlns:r="http://schemas.openxmlformats.org/officeDocument/2006/relationships" name="Summary" sheetId="2" r:id="Rb83ad45297964763"/>
  </x:sheets>
</x:workbook>
</file>

<file path=xl/comments1.xml><?xml version="1.0" encoding="utf-8"?>
<x:comments xmlns:x="http://schemas.openxmlformats.org/spreadsheetml/2006/main">
  <x:authors>
    <x:author>tc={D00CB2FC-6059-0439-D8A7-C2763DBDDD95}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V2: X resuelto de forma reproducible por tramos y búsqueda binaria, evaluando simultáneamente mérito, banda de mercado sobre compa-ratio antes de mercado, gap individual, cap individual y budget total.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.00"/>
    <x:numFmt numFmtId="201" formatCode="0.000"/>
    <x:numFmt numFmtId="202" formatCode="0.0000%"/>
    <x:numFmt numFmtId="203" formatCode="0.0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2bc740e164ac0" /><Relationship Type="http://schemas.openxmlformats.org/officeDocument/2006/relationships/theme" Target="/xl/theme/theme1.xml" Id="R607d897011994b6e" /><Relationship Type="http://schemas.openxmlformats.org/officeDocument/2006/relationships/sharedStrings" Target="/xl/sharedStrings.xml" Id="R438fec0fe81342e8" /><Relationship Type="http://schemas.openxmlformats.org/officeDocument/2006/relationships/worksheet" Target="/xl/worksheets/sheet1.xml" Id="Rbbe0b00a492441cf" /><Relationship Type="http://schemas.openxmlformats.org/officeDocument/2006/relationships/worksheet" Target="/xl/worksheets/sheet2.xml" Id="Rb83ad45297964763" /><Relationship Type="http://schemas.microsoft.com/office/2017/10/relationships/person" Target="/xl/persons/person.xml" Id="Rcb0369a1d19d41e3" /></Relationships>
</file>

<file path=xl/persons/person.xml><?xml version="1.0" encoding="utf-8"?>
<xltc:personList xmlns:xltc="http://schemas.microsoft.com/office/spreadsheetml/2018/threadedcomments">
  <xltc:person displayName="User" id="{C2DA63F3-F212-48F2-B058-0D90A7181318}"/>
</xltc:personList>
</file>

<file path=xl/tables/table1.xml><?xml version="1.0" encoding="utf-8"?>
<x:table xmlns:x="http://schemas.openxmlformats.org/spreadsheetml/2006/main" id="1" name="Detail_Team_Gamma" displayName="Detail_Team_Gamm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1" dT="2026-08-27T01:03:06.765" personId="{C2DA63F3-F212-48F2-B058-0D90A7181318}" id="{D00CB2FC-6059-0439-D8A7-C2763DBDDD95}">
    <xltc:text>V2: X resuelto de forma reproducible por tramos y búsqueda binaria, evaluando simultáneamente mérito, banda de mercado sobre compa-ratio antes de mercado, gap individual, cap individual y budget total.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d670fe5a7f4b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145f1a09a064bf3" /><Relationship Type="http://schemas.openxmlformats.org/officeDocument/2006/relationships/vmlDrawing" Target="/xl/drawings/vmldrawing.vml" Id="Rab93e553ee364bc0" /><Relationship Type="http://schemas.microsoft.com/office/2017/10/relationships/threadedComment" Target="/xl/threadedcomments/threadedcomment.xml" Id="Rf6a73fcf128e4a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C001</x:v>
      </x:c>
      <x:c r="B2" s="8" t="str">
        <x:v>Team Gamma</x:v>
      </x:c>
      <x:c r="C2" s="11" t="n">
        <x:v>2000000</x:v>
      </x:c>
      <x:c r="D2" s="8" t="str">
        <x:v>Associate</x:v>
      </x:c>
      <x:c r="E2" s="8" t="n">
        <x:v>3</x:v>
      </x:c>
      <x:c r="F2" s="8" t="str">
        <x:v>Senior</x:v>
      </x:c>
      <x:c r="G2" s="8" t="n">
        <x:v>1</x:v>
      </x:c>
      <x:c r="H2" s="8" t="n">
        <x:v>5</x:v>
      </x:c>
      <x:c r="I2" s="8" t="str">
        <x:v>MKT_C001</x:v>
      </x:c>
      <x:c r="J2" s="11" t="n">
        <x:v>3000000</x:v>
      </x:c>
      <x:c r="K2" s="14" t="n">
        <x:f>IF(J2="","",C2/J2)</x:f>
        <x:v>0.6666666666666666</x:v>
      </x:c>
      <x:c r="L2" s="17" t="n">
        <x:v>0.08</x:v>
      </x:c>
      <x:c r="M2" s="17" t="n">
        <x:f>IF(D2&lt;&gt;F2,0.15,0)</x:f>
        <x:v>0.15</x:v>
      </x:c>
      <x:c r="N2" s="17" t="n">
        <x:f>IF(AND(D2=F2,G2&gt;E2),0.07,0)</x:f>
        <x:v>0</x:v>
      </x:c>
      <x:c r="O2" s="17" t="n">
        <x:f>SUM(L2:N2)</x:f>
        <x:v>0.22999999999999998</x:v>
      </x:c>
      <x:c r="P2" s="11" t="n">
        <x:f>C2*(1+O2)</x:f>
        <x:v>2460000</x:v>
      </x:c>
      <x:c r="Q2" s="14" t="n">
        <x:f>IF(J2="","",P2/J2)</x:f>
        <x:v>0.82</x:v>
      </x:c>
      <x:c r="R2" s="20" t="n">
        <x:f>IF(OR(M2&gt;0,N2&gt;0),0,IF(H2=1,0,IF(H2=2,0.5,IF(H2=3,1,IF(H2=4,2,IF(H2=5,4,0))))))</x:f>
        <x:v>0</x:v>
      </x:c>
      <x:c r="S2" s="20" t="n">
        <x:f>IF(J2="",0,IF((C2*(1+O2+R2*T2)/J2)&lt;0.7,4,IF((C2*(1+O2+R2*T2)/J2)&lt;0.8,2,IF((C2*(1+O2+R2*T2)/J2)&lt;0.9,1,IF((C2*(1+O2+R2*T2)/J2)&lt;1,0.5,0)))))</x:f>
        <x:v>1</x:v>
      </x:c>
      <x:c r="T2" s="17" t="n">
        <x:f>'Summary'!B11</x:f>
        <x:v>0</x:v>
      </x:c>
      <x:c r="U2" s="17" t="n">
        <x:f>R2*T2</x:f>
        <x:v>0</x:v>
      </x:c>
      <x:c r="V2" s="17" t="n">
        <x:f>IF(J2="",0,IF((C2*(1+O2+U2)/J2)&gt;=1,0,MIN(S2*T2,MAX(0,(J2-C2*(1+O2+U2))/C2))))</x:f>
        <x:v>0</x:v>
      </x:c>
      <x:c r="W2" s="17" t="n">
        <x:f>O2+U2+V2</x:f>
        <x:v>0.22999999999999998</x:v>
      </x:c>
      <x:c r="X2" s="11" t="n">
        <x:f>C2*(1+W2)</x:f>
        <x:v>2460000</x:v>
      </x:c>
      <x:c r="Y2" s="14" t="n">
        <x:f>IF(J2="","",X2/J2)</x:f>
        <x:v>0.82</x:v>
      </x:c>
      <x:c r="Z2" s="14" t="n">
        <x:f>IF(J2="","",Y2-K2)</x:f>
        <x:v>0.15333333333333332</x:v>
      </x:c>
      <x:c r="AA2" s="8" t="str">
        <x:f>IF(J2="","MARKET_DATA_MISSING",IF('Summary'!B7&gt;'Summary'!B8,"BUDGET_INSUFICIENTE",IF(AND(D2=F2,G2&lt;E2),"MOVEMENT_REVIEW","")))</x:f>
        <x:v>BUDGET_INSUFICIENTE</x:v>
      </x:c>
    </x:row>
    <x:row r="3" ht="22" customHeight="1">
      <x:c r="A3" s="9" t="str">
        <x:v>C002</x:v>
      </x:c>
      <x:c r="B3" s="9" t="str">
        <x:v>Team Gamma</x:v>
      </x:c>
      <x:c r="C3" s="12" t="n">
        <x:v>1800000</x:v>
      </x:c>
      <x:c r="D3" s="9" t="str">
        <x:v>Senior</x:v>
      </x:c>
      <x:c r="E3" s="9" t="n">
        <x:v>3</x:v>
      </x:c>
      <x:c r="F3" s="9" t="str">
        <x:v>Supervisor</x:v>
      </x:c>
      <x:c r="G3" s="9" t="n">
        <x:v>1</x:v>
      </x:c>
      <x:c r="H3" s="9" t="n">
        <x:v>4</x:v>
      </x:c>
      <x:c r="I3" s="9" t="str">
        <x:v>MKT_C002</x:v>
      </x:c>
      <x:c r="J3" s="12" t="n">
        <x:v>2800000</x:v>
      </x:c>
      <x:c r="K3" s="15" t="n">
        <x:f>IF(J3="","",C3/J3)</x:f>
        <x:v>0.6428571428571429</x:v>
      </x:c>
      <x:c r="L3" s="18" t="n">
        <x:v>0.08</x:v>
      </x:c>
      <x:c r="M3" s="18" t="n">
        <x:f>IF(D3&lt;&gt;F3,0.15,0)</x:f>
        <x:v>0.15</x:v>
      </x:c>
      <x:c r="N3" s="18" t="n">
        <x:f>IF(AND(D3=F3,G3&gt;E3),0.07,0)</x:f>
        <x:v>0</x:v>
      </x:c>
      <x:c r="O3" s="18" t="n">
        <x:f>SUM(L3:N3)</x:f>
        <x:v>0.22999999999999998</x:v>
      </x:c>
      <x:c r="P3" s="12" t="n">
        <x:f>C3*(1+O3)</x:f>
        <x:v>2214000</x:v>
      </x:c>
      <x:c r="Q3" s="15" t="n">
        <x:f>IF(J3="","",P3/J3)</x:f>
        <x:v>0.7907142857142857</x:v>
      </x:c>
      <x:c r="R3" s="21" t="n">
        <x:f>IF(OR(M3&gt;0,N3&gt;0),0,IF(H3=1,0,IF(H3=2,0.5,IF(H3=3,1,IF(H3=4,2,IF(H3=5,4,0))))))</x:f>
        <x:v>0</x:v>
      </x:c>
      <x:c r="S3" s="21" t="n">
        <x:f>IF(J3="",0,IF((C3*(1+O3+R3*T3)/J3)&lt;0.7,4,IF((C3*(1+O3+R3*T3)/J3)&lt;0.8,2,IF((C3*(1+O3+R3*T3)/J3)&lt;0.9,1,IF((C3*(1+O3+R3*T3)/J3)&lt;1,0.5,0)))))</x:f>
        <x:v>2</x:v>
      </x:c>
      <x:c r="T3" s="18" t="n">
        <x:f>'Summary'!B11</x:f>
        <x:v>0</x:v>
      </x:c>
      <x:c r="U3" s="18" t="n">
        <x:f>R3*T3</x:f>
        <x:v>0</x:v>
      </x:c>
      <x:c r="V3" s="18" t="n">
        <x:f>IF(J3="",0,IF((C3*(1+O3+U3)/J3)&gt;=1,0,MIN(S3*T3,MAX(0,(J3-C3*(1+O3+U3))/C3))))</x:f>
        <x:v>0</x:v>
      </x:c>
      <x:c r="W3" s="18" t="n">
        <x:f>O3+U3+V3</x:f>
        <x:v>0.22999999999999998</x:v>
      </x:c>
      <x:c r="X3" s="12" t="n">
        <x:f>C3*(1+W3)</x:f>
        <x:v>2214000</x:v>
      </x:c>
      <x:c r="Y3" s="15" t="n">
        <x:f>IF(J3="","",X3/J3)</x:f>
        <x:v>0.7907142857142857</x:v>
      </x:c>
      <x:c r="Z3" s="15" t="n">
        <x:f>IF(J3="","",Y3-K3)</x:f>
        <x:v>0.1478571428571428</x:v>
      </x:c>
      <x:c r="AA3" s="9" t="str">
        <x:f>IF(J3="","MARKET_DATA_MISSING",IF('Summary'!B7&gt;'Summary'!B8,"BUDGET_INSUFICIENTE",IF(AND(D3=F3,G3&lt;E3),"MOVEMENT_REVIEW","")))</x:f>
        <x:v>BUDGET_INSUFICIENTE</x:v>
      </x:c>
    </x:row>
    <x:row r="4" ht="22" customHeight="1">
      <x:c r="A4" s="9" t="str">
        <x:v>C003</x:v>
      </x:c>
      <x:c r="B4" s="9" t="str">
        <x:v>Team Gamma</x:v>
      </x:c>
      <x:c r="C4" s="12" t="n">
        <x:v>1600000</x:v>
      </x:c>
      <x:c r="D4" s="9" t="str">
        <x:v>Manager</x:v>
      </x:c>
      <x:c r="E4" s="9" t="n">
        <x:v>1</x:v>
      </x:c>
      <x:c r="F4" s="9" t="str">
        <x:v>Manager</x:v>
      </x:c>
      <x:c r="G4" s="9" t="n">
        <x:v>2</x:v>
      </x:c>
      <x:c r="H4" s="9" t="n">
        <x:v>3</x:v>
      </x:c>
      <x:c r="I4" s="9" t="str">
        <x:v>MKT_C003</x:v>
      </x:c>
      <x:c r="J4" s="12" t="n">
        <x:v>2200000</x:v>
      </x:c>
      <x:c r="K4" s="15" t="n">
        <x:f>IF(J4="","",C4/J4)</x:f>
        <x:v>0.7272727272727273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0.07</x:v>
      </x:c>
      <x:c r="O4" s="18" t="n">
        <x:f>SUM(L4:N4)</x:f>
        <x:v>0.15000000000000002</x:v>
      </x:c>
      <x:c r="P4" s="12" t="n">
        <x:f>C4*(1+O4)</x:f>
        <x:v>1839999.9999999998</x:v>
      </x:c>
      <x:c r="Q4" s="15" t="n">
        <x:f>IF(J4="","",P4/J4)</x:f>
        <x:v>0.8363636363636363</x:v>
      </x:c>
      <x:c r="R4" s="21" t="n">
        <x:f>IF(OR(M4&gt;0,N4&gt;0),0,IF(H4=1,0,IF(H4=2,0.5,IF(H4=3,1,IF(H4=4,2,IF(H4=5,4,0))))))</x:f>
        <x:v>0</x:v>
      </x:c>
      <x:c r="S4" s="21" t="n">
        <x:f>IF(J4="",0,IF((C4*(1+O4+R4*T4)/J4)&lt;0.7,4,IF((C4*(1+O4+R4*T4)/J4)&lt;0.8,2,IF((C4*(1+O4+R4*T4)/J4)&lt;0.9,1,IF((C4*(1+O4+R4*T4)/J4)&lt;1,0.5,0)))))</x:f>
        <x:v>1</x:v>
      </x:c>
      <x:c r="T4" s="18" t="n">
        <x:f>'Summary'!B11</x:f>
        <x:v>0</x:v>
      </x:c>
      <x:c r="U4" s="18" t="n">
        <x:f>R4*T4</x:f>
        <x:v>0</x:v>
      </x:c>
      <x:c r="V4" s="18" t="n">
        <x:f>IF(J4="",0,IF((C4*(1+O4+U4)/J4)&gt;=1,0,MIN(S4*T4,MAX(0,(J4-C4*(1+O4+U4))/C4))))</x:f>
        <x:v>0</x:v>
      </x:c>
      <x:c r="W4" s="18" t="n">
        <x:f>O4+U4+V4</x:f>
        <x:v>0.15000000000000002</x:v>
      </x:c>
      <x:c r="X4" s="12" t="n">
        <x:f>C4*(1+W4)</x:f>
        <x:v>1839999.9999999998</x:v>
      </x:c>
      <x:c r="Y4" s="15" t="n">
        <x:f>IF(J4="","",X4/J4)</x:f>
        <x:v>0.8363636363636363</x:v>
      </x:c>
      <x:c r="Z4" s="15" t="n">
        <x:f>IF(J4="","",Y4-K4)</x:f>
        <x:v>0.10909090909090902</x:v>
      </x:c>
      <x:c r="AA4" s="9" t="str">
        <x:f>IF(J4="","MARKET_DATA_MISSING",IF('Summary'!B7&gt;'Summary'!B8,"BUDGET_INSUFICIENTE",IF(AND(D4=F4,G4&lt;E4),"MOVEMENT_REVIEW","")))</x:f>
        <x:v>BUDGET_INSUFICIENTE</x:v>
      </x:c>
    </x:row>
    <x:row r="5" ht="22" customHeight="1">
      <x:c r="A5" s="9" t="str">
        <x:v>C004</x:v>
      </x:c>
      <x:c r="B5" s="9" t="str">
        <x:v>Team Gamma</x:v>
      </x:c>
      <x:c r="C5" s="12" t="n">
        <x:v>1400000</x:v>
      </x:c>
      <x:c r="D5" s="9" t="str">
        <x:v>Supervisor</x:v>
      </x:c>
      <x:c r="E5" s="9" t="n">
        <x:v>2</x:v>
      </x:c>
      <x:c r="F5" s="9" t="str">
        <x:v>Supervisor</x:v>
      </x:c>
      <x:c r="G5" s="9" t="n">
        <x:v>2</x:v>
      </x:c>
      <x:c r="H5" s="9" t="n">
        <x:v>3</x:v>
      </x:c>
      <x:c r="I5" s="9" t="str">
        <x:v>MKT_C004</x:v>
      </x:c>
      <x:c r="J5" s="12" t="n">
        <x:v>1800000</x:v>
      </x:c>
      <x:c r="K5" s="15" t="n">
        <x:f>IF(J5="","",C5/J5)</x:f>
        <x:v>0.7777777777777778</x:v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SUM(L5:N5)</x:f>
        <x:v>0.08</x:v>
      </x:c>
      <x:c r="P5" s="12" t="n">
        <x:f>C5*(1+O5)</x:f>
        <x:v>1512000</x:v>
      </x:c>
      <x:c r="Q5" s="15" t="n">
        <x:f>IF(J5="","",P5/J5)</x:f>
        <x:v>0.84</x:v>
      </x:c>
      <x:c r="R5" s="21" t="n">
        <x:f>IF(OR(M5&gt;0,N5&gt;0),0,IF(H5=1,0,IF(H5=2,0.5,IF(H5=3,1,IF(H5=4,2,IF(H5=5,4,0))))))</x:f>
        <x:v>1</x:v>
      </x:c>
      <x:c r="S5" s="21" t="n">
        <x:f>IF(J5="",0,IF((C5*(1+O5+R5*T5)/J5)&lt;0.7,4,IF((C5*(1+O5+R5*T5)/J5)&lt;0.8,2,IF((C5*(1+O5+R5*T5)/J5)&lt;0.9,1,IF((C5*(1+O5+R5*T5)/J5)&lt;1,0.5,0)))))</x:f>
        <x:v>1</x:v>
      </x:c>
      <x:c r="T5" s="18" t="n">
        <x:f>'Summary'!B11</x:f>
        <x:v>0</x:v>
      </x:c>
      <x:c r="U5" s="18" t="n">
        <x:f>R5*T5</x:f>
        <x:v>0</x:v>
      </x:c>
      <x:c r="V5" s="18" t="n">
        <x:f>IF(J5="",0,IF((C5*(1+O5+U5)/J5)&gt;=1,0,MIN(S5*T5,MAX(0,(J5-C5*(1+O5+U5))/C5))))</x:f>
        <x:v>0</x:v>
      </x:c>
      <x:c r="W5" s="18" t="n">
        <x:f>O5+U5+V5</x:f>
        <x:v>0.08</x:v>
      </x:c>
      <x:c r="X5" s="12" t="n">
        <x:f>C5*(1+W5)</x:f>
        <x:v>1512000</x:v>
      </x:c>
      <x:c r="Y5" s="15" t="n">
        <x:f>IF(J5="","",X5/J5)</x:f>
        <x:v>0.84</x:v>
      </x:c>
      <x:c r="Z5" s="15" t="n">
        <x:f>IF(J5="","",Y5-K5)</x:f>
        <x:v>0.06222222222222218</x:v>
      </x:c>
      <x:c r="AA5" s="9" t="str">
        <x:f>IF(J5="","MARKET_DATA_MISSING",IF('Summary'!B7&gt;'Summary'!B8,"BUDGET_INSUFICIENTE",IF(AND(D5=F5,G5&lt;E5),"MOVEMENT_REVIEW","")))</x:f>
        <x:v>BUDGET_INSUFICIENTE</x:v>
      </x:c>
    </x:row>
    <x:row r="6" ht="22" customHeight="1">
      <x:c r="A6" s="10" t="str">
        <x:v>C005</x:v>
      </x:c>
      <x:c r="B6" s="10" t="str">
        <x:v>Team Gamma</x:v>
      </x:c>
      <x:c r="C6" s="13" t="n">
        <x:v>1200000</x:v>
      </x:c>
      <x:c r="D6" s="10" t="str">
        <x:v>Senior</x:v>
      </x:c>
      <x:c r="E6" s="10" t="n">
        <x:v>1</x:v>
      </x:c>
      <x:c r="F6" s="10" t="str">
        <x:v>Senior</x:v>
      </x:c>
      <x:c r="G6" s="10" t="n">
        <x:v>1</x:v>
      </x:c>
      <x:c r="H6" s="10" t="n">
        <x:v>2</x:v>
      </x:c>
      <x:c r="I6" s="10" t="str">
        <x:v>MKT_C005</x:v>
      </x:c>
      <x:c r="J6" s="13" t="n">
        <x:v>1800000</x:v>
      </x:c>
      <x:c r="K6" s="16" t="n">
        <x:f>IF(J6="","",C6/J6)</x:f>
        <x:v>0.6666666666666666</x:v>
      </x:c>
      <x:c r="L6" s="19" t="n">
        <x:v>0.08</x:v>
      </x:c>
      <x:c r="M6" s="19" t="n">
        <x:f>IF(D6&lt;&gt;F6,0.15,0)</x:f>
        <x:v>0</x:v>
      </x:c>
      <x:c r="N6" s="19" t="n">
        <x:f>IF(AND(D6=F6,G6&gt;E6),0.07,0)</x:f>
        <x:v>0</x:v>
      </x:c>
      <x:c r="O6" s="19" t="n">
        <x:f>SUM(L6:N6)</x:f>
        <x:v>0.08</x:v>
      </x:c>
      <x:c r="P6" s="13" t="n">
        <x:f>C6*(1+O6)</x:f>
        <x:v>1296000</x:v>
      </x:c>
      <x:c r="Q6" s="16" t="n">
        <x:f>IF(J6="","",P6/J6)</x:f>
        <x:v>0.72</x:v>
      </x:c>
      <x:c r="R6" s="22" t="n">
        <x:f>IF(OR(M6&gt;0,N6&gt;0),0,IF(H6=1,0,IF(H6=2,0.5,IF(H6=3,1,IF(H6=4,2,IF(H6=5,4,0))))))</x:f>
        <x:v>0.5</x:v>
      </x:c>
      <x:c r="S6" s="22" t="n">
        <x:f>IF(J6="",0,IF((C6*(1+O6+R6*T6)/J6)&lt;0.7,4,IF((C6*(1+O6+R6*T6)/J6)&lt;0.8,2,IF((C6*(1+O6+R6*T6)/J6)&lt;0.9,1,IF((C6*(1+O6+R6*T6)/J6)&lt;1,0.5,0)))))</x:f>
        <x:v>2</x:v>
      </x:c>
      <x:c r="T6" s="19" t="n">
        <x:f>'Summary'!B11</x:f>
        <x:v>0</x:v>
      </x:c>
      <x:c r="U6" s="19" t="n">
        <x:f>R6*T6</x:f>
        <x:v>0</x:v>
      </x:c>
      <x:c r="V6" s="19" t="n">
        <x:f>IF(J6="",0,IF((C6*(1+O6+U6)/J6)&gt;=1,0,MIN(S6*T6,MAX(0,(J6-C6*(1+O6+U6))/C6))))</x:f>
        <x:v>0</x:v>
      </x:c>
      <x:c r="W6" s="19" t="n">
        <x:f>O6+U6+V6</x:f>
        <x:v>0.08</x:v>
      </x:c>
      <x:c r="X6" s="13" t="n">
        <x:f>C6*(1+W6)</x:f>
        <x:v>1296000</x:v>
      </x:c>
      <x:c r="Y6" s="16" t="n">
        <x:f>IF(J6="","",X6/J6)</x:f>
        <x:v>0.72</x:v>
      </x:c>
      <x:c r="Z6" s="16" t="n">
        <x:f>IF(J6="","",Y6-K6)</x:f>
        <x:v>0.053333333333333344</x:v>
      </x:c>
      <x:c r="AA6" s="10" t="str">
        <x:f>IF(J6="","MARKET_DATA_MISSING",IF('Summary'!B7&gt;'Summary'!B8,"BUDGET_INSUFICIENTE",IF(AND(D6=F6,G6&lt;E6),"MOVEMENT_REVIEW","")))</x:f>
        <x:v>BUDGET_INSUFICIENTE</x:v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59d670fe5a7f4b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V2 — Team Summary</x:v>
      </x:c>
      <x:c r="B1" s="26"/>
    </x:row>
    <x:row r="3" ht="24" customHeight="1">
      <x:c r="A3" s="30" t="str">
        <x:v>Team</x:v>
      </x:c>
      <x:c r="B3" s="31" t="str">
        <x:v>Team Gamma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8000000</x:v>
      </x:c>
    </x:row>
    <x:row r="7" ht="24" customHeight="1">
      <x:c r="A7" s="32" t="str">
        <x:v>Protected_Payroll</x:v>
      </x:c>
      <x:c r="B7" s="36" t="n">
        <x:f>SUM('Detail'!P2:P6)</x:f>
        <x:v>9322000</x:v>
      </x:c>
    </x:row>
    <x:row r="8" ht="24" customHeight="1">
      <x:c r="A8" s="32" t="str">
        <x:v>Maximum_Payroll</x:v>
      </x:c>
      <x:c r="B8" s="36" t="n">
        <x:f>B6*(1+B9)</x:f>
        <x:v>8800000</x:v>
      </x:c>
    </x:row>
    <x:row r="9" ht="24" customHeight="1">
      <x:c r="A9" s="32" t="str">
        <x:v>Team_Budget_Pct</x:v>
      </x:c>
      <x:c r="B9" s="37" t="n">
        <x:v>0.1</x:v>
      </x:c>
    </x:row>
    <x:row r="10" ht="24" customHeight="1">
      <x:c r="A10" s="32" t="str">
        <x:v>Budget_Available_For_Merit_And_Market</x:v>
      </x:c>
      <x:c r="B10" s="36" t="n">
        <x:f>B8-B7</x:f>
        <x:v>-522000</x:v>
      </x:c>
    </x:row>
    <x:row r="11" ht="24" customHeight="1">
      <x:c r="A11" s="32" t="str">
        <x:v>Calculated_X</x:v>
      </x:c>
      <x:c r="B11" s="37" t="n">
        <x:v>0</x:v>
      </x:c>
    </x:row>
    <x:row r="12" ht="24" customHeight="1">
      <x:c r="A12" s="32" t="str">
        <x:v>Proposed_Payroll</x:v>
      </x:c>
      <x:c r="B12" s="36" t="n">
        <x:f>SUM('Detail'!X2:X6)</x:f>
        <x:v>9322000</x:v>
      </x:c>
    </x:row>
    <x:row r="13" ht="24" customHeight="1">
      <x:c r="A13" s="32" t="str">
        <x:v>Proposed_Payroll_Increase_Pct</x:v>
      </x:c>
      <x:c r="B13" s="37" t="n">
        <x:f>B12/B6-1</x:f>
        <x:v>0.1652499999999999</x:v>
      </x:c>
    </x:row>
    <x:row r="14" ht="24" customHeight="1">
      <x:c r="A14" s="32" t="str">
        <x:v>Budget_Remaining_or_Excess</x:v>
      </x:c>
      <x:c r="B14" s="36" t="n">
        <x:f>B8-B12</x:f>
        <x:v>-522000</x:v>
      </x:c>
    </x:row>
    <x:row r="15" ht="24" customHeight="1">
      <x:c r="A15" s="32" t="str">
        <x:v>Promotions</x:v>
      </x:c>
      <x:c r="B15" s="33" t="n">
        <x:f>COUNTIF('Detail'!M2:M6,"&gt;0")</x:f>
        <x:v>2</x:v>
      </x:c>
    </x:row>
    <x:row r="16" ht="24" customHeight="1">
      <x:c r="A16" s="32" t="str">
        <x:v>Progressions</x:v>
      </x:c>
      <x:c r="B16" s="33" t="n">
        <x:f>COUNTIF('Detail'!N2:N6,"&gt;0")</x:f>
        <x:v>1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5</x:v>
      </x:c>
    </x:row>
    <x:row r="18" ht="24" customHeight="1">
      <x:c r="A18" s="32" t="str">
        <x:v>Exception_Required</x:v>
      </x:c>
      <x:c r="B18" s="33" t="str">
        <x:f>IF(B7&gt;B8,"YES","NO")</x:f>
        <x:v>YES</x:v>
      </x:c>
    </x:row>
    <x:row r="19" ht="24" customHeight="1">
      <x:c r="A19" s="32" t="str">
        <x:v>Additional_Budget_Required_Amount</x:v>
      </x:c>
      <x:c r="B19" s="36" t="n">
        <x:f>MAX(0,B7-B8)</x:f>
        <x:v>522000</x:v>
      </x:c>
    </x:row>
    <x:row r="20" ht="24" customHeight="1">
      <x:c r="A20" s="34" t="str">
        <x:v>Additional_Budget_Required_Pct_Points</x:v>
      </x:c>
      <x:c r="B20" s="38" t="n">
        <x:f>B19/B6</x:f>
        <x:v>0.06525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  <x:legacyDrawing xmlns:r="http://schemas.openxmlformats.org/officeDocument/2006/relationships" r:id="Rab93e553ee364bc0"/>
</x:worksheet>
</file>