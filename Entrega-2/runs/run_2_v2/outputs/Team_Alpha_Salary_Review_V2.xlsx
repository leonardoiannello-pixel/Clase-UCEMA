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5cc32ef41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31ca47b3da7245de"/>
    <x:sheet xmlns:r="http://schemas.openxmlformats.org/officeDocument/2006/relationships" name="Summary" sheetId="2" r:id="Rb913ef79352645ec"/>
  </x:sheets>
</x:workbook>
</file>

<file path=xl/comments1.xml><?xml version="1.0" encoding="utf-8"?>
<x:comments xmlns:x="http://schemas.openxmlformats.org/spreadsheetml/2006/main">
  <x:authors>
    <x:author>tc={0F761BE4-62F5-D28E-8556-B08F8B690244}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V2: X resuelto de forma reproducible por tramos y búsqueda binaria, evaluando simultáneamente mérito, banda de mercado sobre compa-ratio antes de mercado, gap individual, cap individual y budget total.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8d79b3b52402a" /><Relationship Type="http://schemas.openxmlformats.org/officeDocument/2006/relationships/theme" Target="/xl/theme/theme1.xml" Id="R480a56604b9a41e3" /><Relationship Type="http://schemas.openxmlformats.org/officeDocument/2006/relationships/sharedStrings" Target="/xl/sharedStrings.xml" Id="R1102c888e42b4df9" /><Relationship Type="http://schemas.openxmlformats.org/officeDocument/2006/relationships/worksheet" Target="/xl/worksheets/sheet1.xml" Id="R31ca47b3da7245de" /><Relationship Type="http://schemas.openxmlformats.org/officeDocument/2006/relationships/worksheet" Target="/xl/worksheets/sheet2.xml" Id="Rb913ef79352645ec" /><Relationship Type="http://schemas.microsoft.com/office/2017/10/relationships/person" Target="/xl/persons/person.xml" Id="Rfef884e17e8d4d4f" /></Relationships>
</file>

<file path=xl/persons/person.xml><?xml version="1.0" encoding="utf-8"?>
<xltc:personList xmlns:xltc="http://schemas.microsoft.com/office/spreadsheetml/2018/threadedcomments">
  <xltc:person displayName="User" id="{24F3A3A7-191E-4FF3-9CD6-FE117A5BD712}"/>
</xltc:personList>
</file>

<file path=xl/tables/table1.xml><?xml version="1.0" encoding="utf-8"?>
<x:table xmlns:x="http://schemas.openxmlformats.org/spreadsheetml/2006/main" id="1" name="Detail_Team_Alpha" displayName="Detail_Team_Alph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02:48.812" personId="{24F3A3A7-191E-4FF3-9CD6-FE117A5BD712}" id="{0F761BE4-62F5-D28E-8556-B08F8B690244}">
    <xltc:text>V2: X resuelto de forma reproducible por tramos y búsqueda binaria, evaluando simultáneamente mérito, banda de mercado sobre compa-ratio antes de mercado, gap individual, cap individual y budget total.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028eae6af40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7f757fd0c0e4561" /><Relationship Type="http://schemas.openxmlformats.org/officeDocument/2006/relationships/vmlDrawing" Target="/xl/drawings/vmldrawing.vml" Id="Rd3d471f1b1a14d0b" /><Relationship Type="http://schemas.microsoft.com/office/2017/10/relationships/threadedComment" Target="/xl/threadedcomments/threadedcomment.xml" Id="R2f3bd23b947f4e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A001</x:v>
      </x:c>
      <x:c r="B2" s="8" t="str">
        <x:v>Team Alpha</x:v>
      </x:c>
      <x:c r="C2" s="11" t="n">
        <x:v>1400000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2</x:v>
      </x:c>
      <x:c r="I2" s="8" t="str">
        <x:v>MKT_BOUNDARY</x:v>
      </x:c>
      <x:c r="J2" s="11" t="n">
        <x:v>2160000</x:v>
      </x:c>
      <x:c r="K2" s="14" t="n">
        <x:f>IF(J2="","",C2/J2)</x:f>
        <x:v>0.6481481481481481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SUM(L2:N2)</x:f>
        <x:v>0.08</x:v>
      </x:c>
      <x:c r="P2" s="11" t="n">
        <x:f>C2*(1+O2)</x:f>
        <x:v>1512000</x:v>
      </x:c>
      <x:c r="Q2" s="14" t="n">
        <x:f>IF(J2="","",P2/J2)</x:f>
        <x:v>0.7</x:v>
      </x:c>
      <x:c r="R2" s="20" t="n">
        <x:f>IF(OR(M2&gt;0,N2&gt;0),0,IF(H2=1,0,IF(H2=2,0.5,IF(H2=3,1,IF(H2=4,2,IF(H2=5,4,0))))))</x:f>
        <x:v>0.5</x:v>
      </x:c>
      <x:c r="S2" s="20" t="n">
        <x:f>IF(J2="",0,IF((C2*(1+O2+R2*T2)/J2)&lt;0.7,4,IF((C2*(1+O2+R2*T2)/J2)&lt;0.8,2,IF((C2*(1+O2+R2*T2)/J2)&lt;0.9,1,IF((C2*(1+O2+R2*T2)/J2)&lt;1,0.5,0)))))</x:f>
        <x:v>2</x:v>
      </x:c>
      <x:c r="T2" s="17" t="n">
        <x:f>'Summary'!B11</x:f>
        <x:v>0.11759999999900003</x:v>
      </x:c>
      <x:c r="U2" s="17" t="n">
        <x:f>R2*T2</x:f>
        <x:v>0.058799999999500016</x:v>
      </x:c>
      <x:c r="V2" s="17" t="n">
        <x:f>IF(J2="",0,IF((C2*(1+O2+U2)/J2)&gt;=1,0,MIN(S2*T2,MAX(0,(J2-C2*(1+O2+U2))/C2))))</x:f>
        <x:v>0.23519999999800006</x:v>
      </x:c>
      <x:c r="W2" s="17" t="n">
        <x:f>O2+U2+V2</x:f>
        <x:v>0.3739999999975001</x:v>
      </x:c>
      <x:c r="X2" s="11" t="n">
        <x:f>C2*(1+W2)</x:f>
        <x:v>1923599.9999965</x:v>
      </x:c>
      <x:c r="Y2" s="14" t="n">
        <x:f>IF(J2="","",X2/J2)</x:f>
        <x:v>0.8905555555539352</x:v>
      </x:c>
      <x:c r="Z2" s="14" t="n">
        <x:f>IF(J2="","",Y2-K2)</x:f>
        <x:v>0.24240740740578703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A002</x:v>
      </x:c>
      <x:c r="B3" s="9" t="str">
        <x:v>Team Alpha</x:v>
      </x:c>
      <x:c r="C3" s="12" t="n">
        <x:v>1600000</x:v>
      </x:c>
      <x:c r="D3" s="9" t="str">
        <x:v>Associate</x:v>
      </x:c>
      <x:c r="E3" s="9" t="n">
        <x:v>2</x:v>
      </x:c>
      <x:c r="F3" s="9" t="str">
        <x:v>Associate</x:v>
      </x:c>
      <x:c r="G3" s="9" t="n">
        <x:v>2</x:v>
      </x:c>
      <x:c r="H3" s="9" t="n">
        <x:v>3</x:v>
      </x:c>
      <x:c r="I3" s="9" t="str">
        <x:v>MKT_BOUNDARY</x:v>
      </x:c>
      <x:c r="J3" s="12" t="n">
        <x:v>2160000</x:v>
      </x:c>
      <x:c r="K3" s="15" t="n">
        <x:f>IF(J3="","",C3/J3)</x:f>
        <x:v>0.7407407407407407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</x:v>
      </x:c>
      <x:c r="O3" s="18" t="n">
        <x:f>SUM(L3:N3)</x:f>
        <x:v>0.08</x:v>
      </x:c>
      <x:c r="P3" s="12" t="n">
        <x:f>C3*(1+O3)</x:f>
        <x:v>1728000</x:v>
      </x:c>
      <x:c r="Q3" s="15" t="n">
        <x:f>IF(J3="","",P3/J3)</x:f>
        <x:v>0.8</x:v>
      </x:c>
      <x:c r="R3" s="21" t="n">
        <x:f>IF(OR(M3&gt;0,N3&gt;0),0,IF(H3=1,0,IF(H3=2,0.5,IF(H3=3,1,IF(H3=4,2,IF(H3=5,4,0))))))</x:f>
        <x:v>1</x:v>
      </x:c>
      <x:c r="S3" s="21" t="n">
        <x:f>IF(J3="",0,IF((C3*(1+O3+R3*T3)/J3)&lt;0.7,4,IF((C3*(1+O3+R3*T3)/J3)&lt;0.8,2,IF((C3*(1+O3+R3*T3)/J3)&lt;0.9,1,IF((C3*(1+O3+R3*T3)/J3)&lt;1,0.5,0)))))</x:f>
        <x:v>1</x:v>
      </x:c>
      <x:c r="T3" s="18" t="n">
        <x:f>'Summary'!B11</x:f>
        <x:v>0.11759999999900003</x:v>
      </x:c>
      <x:c r="U3" s="18" t="n">
        <x:f>R3*T3</x:f>
        <x:v>0.11759999999900003</x:v>
      </x:c>
      <x:c r="V3" s="18" t="n">
        <x:f>IF(J3="",0,IF((C3*(1+O3+U3)/J3)&gt;=1,0,MIN(S3*T3,MAX(0,(J3-C3*(1+O3+U3))/C3))))</x:f>
        <x:v>0.11759999999900003</x:v>
      </x:c>
      <x:c r="W3" s="18" t="n">
        <x:f>O3+U3+V3</x:f>
        <x:v>0.3151999999980001</x:v>
      </x:c>
      <x:c r="X3" s="12" t="n">
        <x:f>C3*(1+W3)</x:f>
        <x:v>2104319.9999968004</x:v>
      </x:c>
      <x:c r="Y3" s="15" t="n">
        <x:f>IF(J3="","",X3/J3)</x:f>
        <x:v>0.974222222220741</x:v>
      </x:c>
      <x:c r="Z3" s="15" t="n">
        <x:f>IF(J3="","",Y3-K3)</x:f>
        <x:v>0.23348148148000025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A003</x:v>
      </x:c>
      <x:c r="B4" s="9" t="str">
        <x:v>Team Alpha</x:v>
      </x:c>
      <x:c r="C4" s="12" t="n">
        <x:v>1800000</x:v>
      </x:c>
      <x:c r="D4" s="9" t="str">
        <x:v>Senior</x:v>
      </x:c>
      <x:c r="E4" s="9" t="n">
        <x:v>2</x:v>
      </x:c>
      <x:c r="F4" s="9" t="str">
        <x:v>Senior</x:v>
      </x:c>
      <x:c r="G4" s="9" t="n">
        <x:v>2</x:v>
      </x:c>
      <x:c r="H4" s="9" t="n">
        <x:v>4</x:v>
      </x:c>
      <x:c r="I4" s="9" t="str">
        <x:v>MKT_BOUNDARY</x:v>
      </x:c>
      <x:c r="J4" s="12" t="n">
        <x:v>2160000</x:v>
      </x:c>
      <x:c r="K4" s="15" t="n">
        <x:f>IF(J4="","",C4/J4)</x:f>
        <x:v>0.8333333333333334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SUM(L4:N4)</x:f>
        <x:v>0.08</x:v>
      </x:c>
      <x:c r="P4" s="12" t="n">
        <x:f>C4*(1+O4)</x:f>
        <x:v>1944000.0000000002</x:v>
      </x:c>
      <x:c r="Q4" s="15" t="n">
        <x:f>IF(J4="","",P4/J4)</x:f>
        <x:v>0.9000000000000001</x:v>
      </x:c>
      <x:c r="R4" s="21" t="n">
        <x:f>IF(OR(M4&gt;0,N4&gt;0),0,IF(H4=1,0,IF(H4=2,0.5,IF(H4=3,1,IF(H4=4,2,IF(H4=5,4,0))))))</x:f>
        <x:v>2</x:v>
      </x:c>
      <x:c r="S4" s="21" t="n">
        <x:f>IF(J4="",0,IF((C4*(1+O4+R4*T4)/J4)&lt;0.7,4,IF((C4*(1+O4+R4*T4)/J4)&lt;0.8,2,IF((C4*(1+O4+R4*T4)/J4)&lt;0.9,1,IF((C4*(1+O4+R4*T4)/J4)&lt;1,0.5,0)))))</x:f>
        <x:v>0</x:v>
      </x:c>
      <x:c r="T4" s="18" t="n">
        <x:f>'Summary'!B11</x:f>
        <x:v>0.11759999999900003</x:v>
      </x:c>
      <x:c r="U4" s="18" t="n">
        <x:f>R4*T4</x:f>
        <x:v>0.23519999999800006</x:v>
      </x:c>
      <x:c r="V4" s="18" t="n">
        <x:f>IF(J4="",0,IF((C4*(1+O4+U4)/J4)&gt;=1,0,MIN(S4*T4,MAX(0,(J4-C4*(1+O4+U4))/C4))))</x:f>
        <x:v>0</x:v>
      </x:c>
      <x:c r="W4" s="18" t="n">
        <x:f>O4+U4+V4</x:f>
        <x:v>0.3151999999980001</x:v>
      </x:c>
      <x:c r="X4" s="12" t="n">
        <x:f>C4*(1+W4)</x:f>
        <x:v>2367359.9999964004</x:v>
      </x:c>
      <x:c r="Y4" s="15" t="n">
        <x:f>IF(J4="","",X4/J4)</x:f>
        <x:v>1.0959999999983336</x:v>
      </x:c>
      <x:c r="Z4" s="15" t="n">
        <x:f>IF(J4="","",Y4-K4)</x:f>
        <x:v>0.26266666666500027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A004</x:v>
      </x:c>
      <x:c r="B5" s="9" t="str">
        <x:v>Team Alpha</x:v>
      </x:c>
      <x:c r="C5" s="12" t="n">
        <x:v>2000000</x:v>
      </x:c>
      <x:c r="D5" s="9" t="str">
        <x:v>Supervisor</x:v>
      </x:c>
      <x:c r="E5" s="9" t="n">
        <x:v>1</x:v>
      </x:c>
      <x:c r="F5" s="9" t="str">
        <x:v>Supervisor</x:v>
      </x:c>
      <x:c r="G5" s="9" t="n">
        <x:v>1</x:v>
      </x:c>
      <x:c r="H5" s="9" t="n">
        <x:v>1</x:v>
      </x:c>
      <x:c r="I5" s="9" t="str">
        <x:v>MKT_BOUNDARY</x:v>
      </x:c>
      <x:c r="J5" s="12" t="n">
        <x:v>2160000</x:v>
      </x:c>
      <x:c r="K5" s="15" t="n">
        <x:f>IF(J5="","",C5/J5)</x:f>
        <x:v>0.9259259259259259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2160000</x:v>
      </x:c>
      <x:c r="Q5" s="15" t="n">
        <x:f>IF(J5="","",P5/J5)</x:f>
        <x:v>1</x:v>
      </x:c>
      <x:c r="R5" s="21" t="n">
        <x:f>IF(OR(M5&gt;0,N5&gt;0),0,IF(H5=1,0,IF(H5=2,0.5,IF(H5=3,1,IF(H5=4,2,IF(H5=5,4,0))))))</x:f>
        <x:v>0</x:v>
      </x:c>
      <x:c r="S5" s="21" t="n">
        <x:f>IF(J5="",0,IF((C5*(1+O5+R5*T5)/J5)&lt;0.7,4,IF((C5*(1+O5+R5*T5)/J5)&lt;0.8,2,IF((C5*(1+O5+R5*T5)/J5)&lt;0.9,1,IF((C5*(1+O5+R5*T5)/J5)&lt;1,0.5,0)))))</x:f>
        <x:v>0</x:v>
      </x:c>
      <x:c r="T5" s="18" t="n">
        <x:f>'Summary'!B11</x:f>
        <x:v>0.11759999999900003</x:v>
      </x:c>
      <x:c r="U5" s="18" t="n">
        <x:f>R5*T5</x:f>
        <x:v>0</x:v>
      </x:c>
      <x:c r="V5" s="18" t="n">
        <x:f>IF(J5="",0,IF((C5*(1+O5+U5)/J5)&gt;=1,0,MIN(S5*T5,MAX(0,(J5-C5*(1+O5+U5))/C5))))</x:f>
        <x:v>0</x:v>
      </x:c>
      <x:c r="W5" s="18" t="n">
        <x:f>O5+U5+V5</x:f>
        <x:v>0.08</x:v>
      </x:c>
      <x:c r="X5" s="12" t="n">
        <x:f>C5*(1+W5)</x:f>
        <x:v>2160000</x:v>
      </x:c>
      <x:c r="Y5" s="15" t="n">
        <x:f>IF(J5="","",X5/J5)</x:f>
        <x:v>1</x:v>
      </x:c>
      <x:c r="Z5" s="15" t="n">
        <x:f>IF(J5="","",Y5-K5)</x:f>
        <x:v>0.07407407407407407</x:v>
      </x:c>
      <x:c r="AA5" s="9" t="str">
        <x:f>IF(J5="","MARKET_DATA_MISSING",IF('Summary'!B7&gt;'Summary'!B8,"BUDGET_INSUFICIENTE",IF(AND(D5=F5,G5&lt;E5),"MOVEMENT_REVIEW","")))</x:f>
      </x:c>
    </x:row>
    <x:row r="6" ht="22" customHeight="1">
      <x:c r="A6" s="10" t="str">
        <x:v>A005</x:v>
      </x:c>
      <x:c r="B6" s="10" t="str">
        <x:v>Team Alpha</x:v>
      </x:c>
      <x:c r="C6" s="13" t="n">
        <x:v>2200000</x:v>
      </x:c>
      <x:c r="D6" s="10" t="str">
        <x:v>Manager</x:v>
      </x:c>
      <x:c r="E6" s="10" t="n">
        <x:v>2</x:v>
      </x:c>
      <x:c r="F6" s="10" t="str">
        <x:v>Senior Manager</x:v>
      </x:c>
      <x:c r="G6" s="10" t="n">
        <x:v>1</x:v>
      </x:c>
      <x:c r="H6" s="10" t="n">
        <x:v>5</x:v>
      </x:c>
      <x:c r="I6" s="10" t="str">
        <x:v>MKT_A_PROMO</x:v>
      </x:c>
      <x:c r="J6" s="13" t="n">
        <x:v>3200000</x:v>
      </x:c>
      <x:c r="K6" s="16" t="n">
        <x:f>IF(J6="","",C6/J6)</x:f>
        <x:v>0.6875</x:v>
      </x:c>
      <x:c r="L6" s="19" t="n">
        <x:v>0.08</x:v>
      </x:c>
      <x:c r="M6" s="19" t="n">
        <x:f>IF(D6&lt;&gt;F6,0.15,0)</x:f>
        <x:v>0.15</x:v>
      </x:c>
      <x:c r="N6" s="19" t="n">
        <x:f>IF(AND(D6=F6,G6&gt;E6),0.07,0)</x:f>
        <x:v>0</x:v>
      </x:c>
      <x:c r="O6" s="19" t="n">
        <x:f>SUM(L6:N6)</x:f>
        <x:v>0.22999999999999998</x:v>
      </x:c>
      <x:c r="P6" s="13" t="n">
        <x:f>C6*(1+O6)</x:f>
        <x:v>2706000</x:v>
      </x:c>
      <x:c r="Q6" s="16" t="n">
        <x:f>IF(J6="","",P6/J6)</x:f>
        <x:v>0.845625</x:v>
      </x:c>
      <x:c r="R6" s="22" t="n">
        <x:f>IF(OR(M6&gt;0,N6&gt;0),0,IF(H6=1,0,IF(H6=2,0.5,IF(H6=3,1,IF(H6=4,2,IF(H6=5,4,0))))))</x:f>
        <x:v>0</x:v>
      </x:c>
      <x:c r="S6" s="22" t="n">
        <x:f>IF(J6="",0,IF((C6*(1+O6+R6*T6)/J6)&lt;0.7,4,IF((C6*(1+O6+R6*T6)/J6)&lt;0.8,2,IF((C6*(1+O6+R6*T6)/J6)&lt;0.9,1,IF((C6*(1+O6+R6*T6)/J6)&lt;1,0.5,0)))))</x:f>
        <x:v>1</x:v>
      </x:c>
      <x:c r="T6" s="19" t="n">
        <x:f>'Summary'!B11</x:f>
        <x:v>0.11759999999900003</x:v>
      </x:c>
      <x:c r="U6" s="19" t="n">
        <x:f>R6*T6</x:f>
        <x:v>0</x:v>
      </x:c>
      <x:c r="V6" s="19" t="n">
        <x:f>IF(J6="",0,IF((C6*(1+O6+U6)/J6)&gt;=1,0,MIN(S6*T6,MAX(0,(J6-C6*(1+O6+U6))/C6))))</x:f>
        <x:v>0.11759999999900003</x:v>
      </x:c>
      <x:c r="W6" s="19" t="n">
        <x:f>O6+U6+V6</x:f>
        <x:v>0.34759999999900004</x:v>
      </x:c>
      <x:c r="X6" s="13" t="n">
        <x:f>C6*(1+W6)</x:f>
        <x:v>2964719.9999978</x:v>
      </x:c>
      <x:c r="Y6" s="16" t="n">
        <x:f>IF(J6="","",X6/J6)</x:f>
        <x:v>0.9264749999993126</x:v>
      </x:c>
      <x:c r="Z6" s="16" t="n">
        <x:f>IF(J6="","",Y6-K6)</x:f>
        <x:v>0.2389749999993126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c96028eae6af40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V2 — Team Summary</x:v>
      </x:c>
      <x:c r="B1" s="26"/>
    </x:row>
    <x:row r="3" ht="24" customHeight="1">
      <x:c r="A3" s="30" t="str">
        <x:v>Team</x:v>
      </x:c>
      <x:c r="B3" s="31" t="str">
        <x:v>Team Alpha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9000000</x:v>
      </x:c>
    </x:row>
    <x:row r="7" ht="24" customHeight="1">
      <x:c r="A7" s="32" t="str">
        <x:v>Protected_Payroll</x:v>
      </x:c>
      <x:c r="B7" s="36" t="n">
        <x:f>SUM('Detail'!P2:P6)</x:f>
        <x:v>10050000</x:v>
      </x:c>
    </x:row>
    <x:row r="8" ht="24" customHeight="1">
      <x:c r="A8" s="32" t="str">
        <x:v>Maximum_Payroll</x:v>
      </x:c>
      <x:c r="B8" s="36" t="n">
        <x:f>B6*(1+B9)</x:f>
        <x:v>11520000</x:v>
      </x:c>
    </x:row>
    <x:row r="9" ht="24" customHeight="1">
      <x:c r="A9" s="32" t="str">
        <x:v>Team_Budget_Pct</x:v>
      </x:c>
      <x:c r="B9" s="37" t="n">
        <x:v>0.28</x:v>
      </x:c>
    </x:row>
    <x:row r="10" ht="24" customHeight="1">
      <x:c r="A10" s="32" t="str">
        <x:v>Budget_Available_For_Merit_And_Market</x:v>
      </x:c>
      <x:c r="B10" s="36" t="n">
        <x:f>B8-B7</x:f>
        <x:v>1470000</x:v>
      </x:c>
    </x:row>
    <x:row r="11" ht="24" customHeight="1">
      <x:c r="A11" s="32" t="str">
        <x:v>Calculated_X</x:v>
      </x:c>
      <x:c r="B11" s="37" t="n">
        <x:v>0.11759999999900003</x:v>
      </x:c>
    </x:row>
    <x:row r="12" ht="24" customHeight="1">
      <x:c r="A12" s="32" t="str">
        <x:v>Proposed_Payroll</x:v>
      </x:c>
      <x:c r="B12" s="36" t="n">
        <x:f>SUM('Detail'!X2:X6)</x:f>
        <x:v>11519999.999987502</x:v>
      </x:c>
    </x:row>
    <x:row r="13" ht="24" customHeight="1">
      <x:c r="A13" s="32" t="str">
        <x:v>Proposed_Payroll_Increase_Pct</x:v>
      </x:c>
      <x:c r="B13" s="37" t="n">
        <x:f>B12/B6-1</x:f>
        <x:v>0.27999999999861136</x:v>
      </x:c>
    </x:row>
    <x:row r="14" ht="24" customHeight="1">
      <x:c r="A14" s="32" t="str">
        <x:v>Budget_Remaining_or_Excess</x:v>
      </x:c>
      <x:c r="B14" s="36" t="n">
        <x:f>B8-B12</x:f>
        <x:v>0.000012498348951339722</x:v>
      </x:c>
    </x:row>
    <x:row r="15" ht="24" customHeight="1">
      <x:c r="A15" s="32" t="str">
        <x:v>Promotions</x:v>
      </x:c>
      <x:c r="B15" s="33" t="n">
        <x:f>COUNTIF('Detail'!M2:M6,"&gt;0")</x:f>
        <x:v>1</x:v>
      </x:c>
    </x:row>
    <x:row r="16" ht="24" customHeight="1">
      <x:c r="A16" s="32" t="str">
        <x:v>Progressions</x:v>
      </x:c>
      <x:c r="B16" s="33" t="n">
        <x:f>COUNTIF('Detail'!N2:N6,"&gt;0")</x:f>
        <x:v>0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0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B19/B6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d3d471f1b1a14d0b"/>
</x:worksheet>
</file>