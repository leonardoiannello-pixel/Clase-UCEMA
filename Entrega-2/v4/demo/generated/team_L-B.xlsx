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1522663ab4c1a" /></Relationships>
</file>

<file path=xl/workbook.xml><?xml version="1.0" encoding="utf-8"?>
<workbook xmlns="http://schemas.openxmlformats.org/spreadsheetml/2006/main" xmlns:ns1="http://schemas.openxmlformats.org/officeDocument/2006/relationships">
  <workbookProtection workbookPassword="FE27" lockStructure="1"/>
  <sheets>
    <sheet name="Summary" sheetId="1" ns1:id="Ra4111a0dd7604e70"/>
    <sheet name="Detail" sheetId="2" ns1:id="Rb0b8e8fc33ec4473"/>
  </sheet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"/>
    <numFmt numFmtId="201" formatCode="0.00%"/>
    <numFmt numFmtId="202" formatCode="0.000"/>
  </numFmts>
  <fonts count="3">
    <font>
      <sz val="11"/>
      <name val="Carlito"/>
    </font>
    <font>
      <sz val="11"/>
      <color rgb="FF172B4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2CC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200" fontId="1" fillId="0" borderId="0" xfId="0" applyNumberFormat="1" applyFont="1" applyFill="1" applyBorder="1"/>
    <xf numFmtId="200" fontId="1" fillId="2" borderId="0" xfId="0" applyNumberFormat="1" applyFont="1" applyFill="1" applyBorder="1"/>
    <xf numFmtId="200" fontId="2" fillId="2" borderId="0" xfId="0" applyNumberFormat="1" applyFont="1" applyFill="1" applyBorder="1"/>
    <xf numFmtId="200" fontId="2" fillId="2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 applyAlignment="1">
      <alignment wrapText="1"/>
    </xf>
    <xf numFmtId="201" fontId="1" fillId="0" borderId="0" xfId="0" applyNumberFormat="1" applyFont="1" applyFill="1" applyBorder="1"/>
    <xf numFmtId="202" fontId="1" fillId="0" borderId="0" xfId="0" applyNumberFormat="1" applyFont="1" applyFill="1" applyBorder="1"/>
    <xf numFmtId="201" fontId="1" fillId="3" borderId="0" xfId="0" applyNumberFormat="1" applyFont="1" applyFill="1" applyBorder="1"/>
    <xf numFmtId="201" fontId="1" fillId="3" borderId="0" xfId="0" applyNumberFormat="1" applyFont="1" applyFill="1" applyBorder="1" applyProtection="1">
      <protection locked="0"/>
    </xf>
  </cellXfs>
  <cellStyles count="1">
    <cellStyle name="Normal" xf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ill>
        <patternFill patternType="solid">
          <bgColor rgb="FFE2EFDA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f8865e887a4a2f" /><Relationship Type="http://schemas.openxmlformats.org/officeDocument/2006/relationships/theme" Target="/xl/theme/theme1.xml" Id="R84252205427946f5" /><Relationship Type="http://schemas.openxmlformats.org/officeDocument/2006/relationships/sharedStrings" Target="/xl/sharedStrings.xml" Id="R9a6c238aa87746d2" /><Relationship Type="http://schemas.openxmlformats.org/officeDocument/2006/relationships/worksheet" Target="/xl/worksheets/sheet1.xml" Id="Ra4111a0dd7604e70" /><Relationship Type="http://schemas.openxmlformats.org/officeDocument/2006/relationships/worksheet" Target="/xl/worksheets/sheet2.xml" Id="Rb0b8e8fc33ec44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4" hidden="0" customWidth="1"/>
    <col min="2" max="2" width="76" hidden="0" customWidth="1"/>
  </cols>
  <sheetData>
    <row r="1" ht="64" customHeight="1">
      <c r="A1" s="5" t="str">
        <v>Salary review V4</v>
      </c>
      <c r="B1" s="5" t="str">
        <v>Team Beta</v>
      </c>
    </row>
    <row r="2" ht="23" customHeight="1">
      <c r="A2" s="2" t="str">
        <v>Dataset</v>
      </c>
      <c r="B2" s="2" t="str">
        <v>SYNTHETIC DEMO</v>
      </c>
    </row>
    <row r="3" ht="23" customHeight="1">
      <c r="A3" s="2" t="str">
        <v>Reviewer_ID</v>
      </c>
      <c r="B3" s="2" t="str">
        <v>L-B</v>
      </c>
    </row>
    <row r="4" ht="23" customHeight="1">
      <c r="A4" s="2" t="str">
        <v>Team Payroll June</v>
      </c>
      <c r="B4" s="2" t="n">
        <f>SUM('Detail'!H2:H6)</f>
        <v>9100000</v>
      </c>
    </row>
    <row r="5" ht="23" customHeight="1">
      <c r="A5" s="2" t="str">
        <v>Maximum Payroll / Budget</v>
      </c>
      <c r="B5" s="2" t="n">
        <f>B4*(1+B12)</f>
        <v>10738000</v>
      </c>
    </row>
    <row r="6" ht="23" customHeight="1">
      <c r="A6" s="2" t="str">
        <v>Proposed Payroll</v>
      </c>
      <c r="B6" s="2" t="n">
        <f>SUM('Detail'!Q2:Q6)</f>
        <v>10736500</v>
      </c>
    </row>
    <row r="7" ht="23" customHeight="1">
      <c r="A7" s="2" t="str">
        <v>Discretionary Adjustment Amount</v>
      </c>
      <c r="B7" s="2" t="n">
        <f>B8-B6</f>
        <v>0</v>
      </c>
    </row>
    <row r="8" ht="23" customHeight="1">
      <c r="A8" s="2" t="str">
        <v>Final Payroll</v>
      </c>
      <c r="B8" s="2" t="n">
        <f>SUM('Detail'!T2:T6)</f>
        <v>10736500</v>
      </c>
    </row>
    <row r="9" ht="23" customHeight="1">
      <c r="A9" s="2" t="str">
        <v>Budget Remaining</v>
      </c>
      <c r="B9" s="2" t="n">
        <f>B5-B8</f>
        <v>1500</v>
      </c>
    </row>
    <row r="10" ht="23" customHeight="1">
      <c r="A10" s="2" t="str">
        <v>Budget Utilization %</v>
      </c>
      <c r="B10" s="7" t="n">
        <f>B8/B5</f>
        <v>0.999860309182343</v>
      </c>
    </row>
    <row r="11" ht="23" customHeight="1">
      <c r="A11" s="2" t="str">
        <v>Budget Status</v>
      </c>
      <c r="B11" s="2" t="str">
        <f>IF(ISERROR(B8),"INVALID",IF(B8&gt;B5,"EXCEEDED","OK"))</f>
        <v>OK</v>
      </c>
    </row>
    <row r="12" ht="23" customHeight="1">
      <c r="A12" s="2" t="str">
        <v>Budget %</v>
      </c>
      <c r="B12" s="7" t="n">
        <v>0.18</v>
      </c>
    </row>
    <row r="13" ht="23" customHeight="1">
      <c r="A13" s="2" t="str">
        <v>Discretionary_Min_Pct</v>
      </c>
      <c r="B13" s="7" t="n">
        <v>-0.05</v>
      </c>
    </row>
    <row r="14" ht="23" customHeight="1">
      <c r="A14" s="2" t="str">
        <v>Discretionary_Max_Pct</v>
      </c>
      <c r="B14" s="7" t="n">
        <v>0.05</v>
      </c>
    </row>
    <row r="15" ht="23" customHeight="1">
      <c r="A15" s="2" t="str">
        <v>Final approval</v>
      </c>
      <c r="B15" s="2" t="str">
        <v>PENDING_HUMAN_APPROVAL</v>
      </c>
    </row>
    <row r="16" ht="34" customHeight="1">
      <c r="A16" s="2" t="str">
        <v>Instructions</v>
      </c>
      <c r="B16" s="6" t="str">
        <v>Edit only yellow Discretionary Adjustment % cells.</v>
      </c>
    </row>
    <row r="17" ht="34" customHeight="1">
      <c r="A17" s="2" t="str">
        <v>Protection</v>
      </c>
      <c r="B17" s="6" t="str">
        <v>Prevents accidental edits. No encryption or access control.</v>
      </c>
    </row>
    <row r="18" ht="34" customHeight="1">
      <c r="A18" s="2" t="str">
        <v>Parameters</v>
      </c>
      <c r="B18" s="6" t="str">
        <v>DEMO limits and leadership budget require business approval.</v>
      </c>
    </row>
    <row r="19" ht="34" customHeight="1">
      <c r="A19" s="2" t="str">
        <v>Budget utilization definition</v>
      </c>
      <c r="B19" s="6" t="str">
        <v>Final Payroll / Maximum Payroll</v>
      </c>
    </row>
    <row r="20" ht="34" customHeight="1">
      <c r="A20" s="2" t="str">
        <v>Invalid adjustments</v>
      </c>
      <c r="B20" s="6" t="str">
        <v>Invalid input blocks final amounts until corrected.</v>
      </c>
    </row>
  </sheetData>
  <sheetProtection password="FE27" sheet="1" objects="1" scenarios="1" selectLockedCells="0" selectUnlockedCells="0"/>
  <conditionalFormatting sqref="B11:B11">
    <cfRule type="containsText" dxfId="0" priority="1" operator="containsText" text="EXCEEDED"/>
    <cfRule type="containsText" dxfId="1" priority="2" operator="containsText" text="OK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28" hidden="0" customWidth="1"/>
    <col min="4" max="4" width="19" hidden="0" customWidth="1"/>
    <col min="5" max="5" width="28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  <col min="13" max="13" width="19" hidden="0" customWidth="1"/>
    <col min="14" max="14" width="19" hidden="0" customWidth="1"/>
    <col min="15" max="15" width="19" hidden="0" customWidth="1"/>
    <col min="16" max="16" width="19" hidden="0" customWidth="1"/>
    <col min="17" max="17" width="19" hidden="0" customWidth="1"/>
    <col min="18" max="18" width="19" hidden="0" customWidth="1"/>
    <col min="19" max="19" width="19" hidden="0" customWidth="1"/>
    <col min="20" max="20" width="19" hidden="0" customWidth="1"/>
    <col min="21" max="21" width="19" hidden="0" customWidth="1"/>
    <col min="22" max="22" width="38" hidden="0" customWidth="1"/>
    <col min="23" max="23" width="19" hidden="0" customWidth="1"/>
    <col min="24" max="24" width="19" hidden="0" customWidth="1"/>
    <col min="25" max="25" width="32" hidden="0" customWidth="1"/>
    <col min="26" max="26" width="19" hidden="0" customWidth="1"/>
    <col min="27" max="27" width="19" hidden="0" customWidth="1"/>
  </cols>
  <sheetData>
    <row r="1" ht="64" customHeight="1">
      <c r="A1" s="5" t="str">
        <v>Employee_ID</v>
      </c>
      <c r="B1" s="5" t="str">
        <v>Team</v>
      </c>
      <c r="C1" s="5" t="str">
        <v>Current Rank</v>
      </c>
      <c r="D1" s="5" t="str">
        <v>Current Grade</v>
      </c>
      <c r="E1" s="5" t="str">
        <v>New Rank</v>
      </c>
      <c r="F1" s="5" t="str">
        <v>New Grade</v>
      </c>
      <c r="G1" s="5" t="str">
        <v>Performance Rating</v>
      </c>
      <c r="H1" s="5" t="str">
        <v>June Salary</v>
      </c>
      <c r="I1" s="5" t="str">
        <v>Market Reference</v>
      </c>
      <c r="J1" s="5" t="str">
        <v>Initial Compa Ratio</v>
      </c>
      <c r="K1" s="5" t="str">
        <v>General %</v>
      </c>
      <c r="L1" s="5" t="str">
        <v>Promotion %</v>
      </c>
      <c r="M1" s="5" t="str">
        <v>Progression %</v>
      </c>
      <c r="N1" s="5" t="str">
        <v>Merit %</v>
      </c>
      <c r="O1" s="5" t="str">
        <v>Market %</v>
      </c>
      <c r="P1" s="5" t="str">
        <v>Proposed Increase %</v>
      </c>
      <c r="Q1" s="5" t="str">
        <v>Proposed Salary</v>
      </c>
      <c r="R1" s="5" t="str">
        <v>Discretionary Adjustment %</v>
      </c>
      <c r="S1" s="5" t="str">
        <v>Final Increase %</v>
      </c>
      <c r="T1" s="5" t="str">
        <v>Final Salary</v>
      </c>
      <c r="U1" s="5" t="str">
        <v>Final Compa Ratio</v>
      </c>
      <c r="V1" s="5" t="str">
        <v>Flags</v>
      </c>
      <c r="W1" s="5" t="str">
        <v>Protected Increase %</v>
      </c>
      <c r="X1" s="5" t="str">
        <v>Protected Salary</v>
      </c>
      <c r="Y1" s="5" t="str">
        <v>Original Flags</v>
      </c>
      <c r="Z1" s="5" t="str">
        <v>Reviewer_ID</v>
      </c>
      <c r="AA1" s="5" t="str">
        <v>Human Modified</v>
      </c>
    </row>
    <row r="2" ht="23" customHeight="1">
      <c r="A2" s="2" t="str">
        <v>B001</v>
      </c>
      <c r="B2" s="2" t="str">
        <v>Team Beta</v>
      </c>
      <c r="C2" s="2" t="str">
        <v>Associate</v>
      </c>
      <c r="D2" s="2" t="n">
        <v>1</v>
      </c>
      <c r="E2" s="2" t="str">
        <v>Associate</v>
      </c>
      <c r="F2" s="2" t="n">
        <v>1</v>
      </c>
      <c r="G2" s="2" t="n">
        <v>5</v>
      </c>
      <c r="H2" s="2" t="n">
        <v>1200000</v>
      </c>
      <c r="I2" s="2" t="n">
        <v>2400000</v>
      </c>
      <c r="J2" s="8" t="n">
        <v>0.5</v>
      </c>
      <c r="K2" s="7" t="n">
        <v>0.08</v>
      </c>
      <c r="L2" s="7" t="n">
        <v>0</v>
      </c>
      <c r="M2" s="7" t="n">
        <v>0</v>
      </c>
      <c r="N2" s="7" t="n">
        <v>0.1728</v>
      </c>
      <c r="O2" s="7" t="n">
        <v>0.1728</v>
      </c>
      <c r="P2" s="7" t="n">
        <v>0.4256</v>
      </c>
      <c r="Q2" s="2" t="n">
        <v>1710700</v>
      </c>
      <c r="R2" s="10" t="n">
        <v>0</v>
      </c>
      <c r="S2" s="7" t="n">
        <f>IF(AND(ISNUMBER(R2),R2&gt;='Summary'!$B$13,R2&lt;='Summary'!$B$14,ROUND(R2,4)=R2,ROUND(P2+R2,4)&gt;=W2,ROUND(H2*(1+ROUND(P2+R2,4)),-2)&gt;=X2),ROUND(P2+R2,4),NA())</f>
        <v>0.4256</v>
      </c>
      <c r="T2" s="2" t="n">
        <f>ROUND(H2*(1+S2),-2)</f>
        <v>1710700</v>
      </c>
      <c r="U2" s="8" t="n">
        <f>IF(I2="","",T2/I2)</f>
        <v>0.7127916666666667</v>
      </c>
      <c r="V2" s="2" t="str">
        <f>Y2&amp;IF(AND(ISNUMBER(R2),R2&gt;='Summary'!$B$13,R2&lt;='Summary'!$B$14,ROUND(R2,4)=R2,ROUND(P2+R2,4)&gt;=W2,ROUND(H2*(1+ROUND(P2+R2,4)),-2)&gt;=X2),"",";INVALID_ADJUSTMENT")</f>
      </c>
      <c r="W2" s="7" t="n">
        <v>0.08</v>
      </c>
      <c r="X2" s="2" t="n">
        <v>1296000</v>
      </c>
      <c r="Y2" s="2" t="str"/>
      <c r="Z2" s="2" t="str">
        <v>L-B</v>
      </c>
      <c r="AA2" s="2" t="b">
        <f>R2&lt;&gt;0</f>
        <v>0</v>
      </c>
    </row>
    <row r="3" ht="23" customHeight="1">
      <c r="A3" s="2" t="str">
        <v>B002</v>
      </c>
      <c r="B3" s="2" t="str">
        <v>Team Beta</v>
      </c>
      <c r="C3" s="2" t="str">
        <v>Senior</v>
      </c>
      <c r="D3" s="2" t="n">
        <v>1</v>
      </c>
      <c r="E3" s="2" t="str">
        <v>Senior</v>
      </c>
      <c r="F3" s="2" t="n">
        <v>2</v>
      </c>
      <c r="G3" s="2" t="n">
        <v>4</v>
      </c>
      <c r="H3" s="2" t="n">
        <v>1500000</v>
      </c>
      <c r="I3" s="2" t="n">
        <v>2400000</v>
      </c>
      <c r="J3" s="8" t="n">
        <v>0.625</v>
      </c>
      <c r="K3" s="7" t="n">
        <v>0.08</v>
      </c>
      <c r="L3" s="7" t="n">
        <v>0</v>
      </c>
      <c r="M3" s="7" t="n">
        <v>0.07</v>
      </c>
      <c r="N3" s="7" t="n">
        <v>0</v>
      </c>
      <c r="O3" s="7" t="n">
        <v>0.0864</v>
      </c>
      <c r="P3" s="7" t="n">
        <v>0.2364</v>
      </c>
      <c r="Q3" s="2" t="n">
        <v>1854600</v>
      </c>
      <c r="R3" s="10" t="n">
        <v>0</v>
      </c>
      <c r="S3" s="7" t="n">
        <f>IF(AND(ISNUMBER(R3),R3&gt;='Summary'!$B$13,R3&lt;='Summary'!$B$14,ROUND(R3,4)=R3,ROUND(P3+R3,4)&gt;=W3,ROUND(H3*(1+ROUND(P3+R3,4)),-2)&gt;=X3),ROUND(P3+R3,4),NA())</f>
        <v>0.2364</v>
      </c>
      <c r="T3" s="2" t="n">
        <f>ROUND(H3*(1+S3),-2)</f>
        <v>1854600</v>
      </c>
      <c r="U3" s="8" t="n">
        <f>IF(I3="","",T3/I3)</f>
        <v>0.77275</v>
      </c>
      <c r="V3" s="2" t="str">
        <f>Y3&amp;IF(AND(ISNUMBER(R3),R3&gt;='Summary'!$B$13,R3&lt;='Summary'!$B$14,ROUND(R3,4)=R3,ROUND(P3+R3,4)&gt;=W3,ROUND(H3*(1+ROUND(P3+R3,4)),-2)&gt;=X3),"",";INVALID_ADJUSTMENT")</f>
      </c>
      <c r="W3" s="7" t="n">
        <v>0.15</v>
      </c>
      <c r="X3" s="2" t="n">
        <v>1725000</v>
      </c>
      <c r="Y3" s="2" t="str"/>
      <c r="Z3" s="2" t="str">
        <v>L-B</v>
      </c>
      <c r="AA3" s="2" t="b">
        <f>R3&lt;&gt;0</f>
        <v>0</v>
      </c>
    </row>
    <row r="4" ht="23" customHeight="1">
      <c r="A4" s="2" t="str">
        <v>B003</v>
      </c>
      <c r="B4" s="2" t="str">
        <v>Team Beta</v>
      </c>
      <c r="C4" s="2" t="str">
        <v>Manager</v>
      </c>
      <c r="D4" s="2" t="n">
        <v>2</v>
      </c>
      <c r="E4" s="2" t="str">
        <v>Manager</v>
      </c>
      <c r="F4" s="2" t="n">
        <v>2</v>
      </c>
      <c r="G4" s="2" t="n">
        <v>4</v>
      </c>
      <c r="H4" s="2" t="n">
        <v>2100000</v>
      </c>
      <c r="I4" s="2" t="n">
        <v>2400000</v>
      </c>
      <c r="J4" s="8" t="n">
        <v>0.875</v>
      </c>
      <c r="K4" s="7" t="n">
        <v>0.08</v>
      </c>
      <c r="L4" s="7" t="n">
        <v>0</v>
      </c>
      <c r="M4" s="7" t="n">
        <v>0</v>
      </c>
      <c r="N4" s="7" t="n">
        <v>0.0864</v>
      </c>
      <c r="O4" s="7" t="n">
        <v>0</v>
      </c>
      <c r="P4" s="7" t="n">
        <v>0.1664</v>
      </c>
      <c r="Q4" s="2" t="n">
        <v>2449400</v>
      </c>
      <c r="R4" s="10" t="n">
        <v>0</v>
      </c>
      <c r="S4" s="7" t="n">
        <f>IF(AND(ISNUMBER(R4),R4&gt;='Summary'!$B$13,R4&lt;='Summary'!$B$14,ROUND(R4,4)=R4,ROUND(P4+R4,4)&gt;=W4,ROUND(H4*(1+ROUND(P4+R4,4)),-2)&gt;=X4),ROUND(P4+R4,4),NA())</f>
        <v>0.1664</v>
      </c>
      <c r="T4" s="2" t="n">
        <f>ROUND(H4*(1+S4),-2)</f>
        <v>2449400</v>
      </c>
      <c r="U4" s="8" t="n">
        <f>IF(I4="","",T4/I4)</f>
        <v>1.0205833333333334</v>
      </c>
      <c r="V4" s="2" t="str">
        <f>Y4&amp;IF(AND(ISNUMBER(R4),R4&gt;='Summary'!$B$13,R4&lt;='Summary'!$B$14,ROUND(R4,4)=R4,ROUND(P4+R4,4)&gt;=W4,ROUND(H4*(1+ROUND(P4+R4,4)),-2)&gt;=X4),"",";INVALID_ADJUSTMENT")</f>
      </c>
      <c r="W4" s="7" t="n">
        <v>0.08</v>
      </c>
      <c r="X4" s="2" t="n">
        <v>2268000</v>
      </c>
      <c r="Y4" s="2" t="str"/>
      <c r="Z4" s="2" t="str">
        <v>L-B</v>
      </c>
      <c r="AA4" s="2" t="b">
        <f>R4&lt;&gt;0</f>
        <v>0</v>
      </c>
    </row>
    <row r="5" ht="23" customHeight="1">
      <c r="A5" s="2" t="str">
        <v>B004</v>
      </c>
      <c r="B5" s="2" t="str">
        <v>Team Beta</v>
      </c>
      <c r="C5" s="2" t="str">
        <v>Supervisor</v>
      </c>
      <c r="D5" s="2" t="n">
        <v>3</v>
      </c>
      <c r="E5" s="2" t="str">
        <v>Supervisor</v>
      </c>
      <c r="F5" s="2" t="n">
        <v>3</v>
      </c>
      <c r="G5" s="2" t="n">
        <v>3</v>
      </c>
      <c r="H5" s="2" t="n">
        <v>1800000</v>
      </c>
      <c r="I5" s="2"/>
      <c r="J5" s="8"/>
      <c r="K5" s="7" t="n">
        <v>0.08</v>
      </c>
      <c r="L5" s="7" t="n">
        <v>0</v>
      </c>
      <c r="M5" s="7" t="n">
        <v>0</v>
      </c>
      <c r="N5" s="7" t="n">
        <v>0.0432</v>
      </c>
      <c r="O5" s="7" t="n">
        <v>0</v>
      </c>
      <c r="P5" s="7" t="n">
        <v>0.1232</v>
      </c>
      <c r="Q5" s="2" t="n">
        <v>2021800</v>
      </c>
      <c r="R5" s="10" t="n">
        <v>0</v>
      </c>
      <c r="S5" s="7" t="n">
        <f>IF(AND(ISNUMBER(R5),R5&gt;='Summary'!$B$13,R5&lt;='Summary'!$B$14,ROUND(R5,4)=R5,ROUND(P5+R5,4)&gt;=W5,ROUND(H5*(1+ROUND(P5+R5,4)),-2)&gt;=X5),ROUND(P5+R5,4),NA())</f>
        <v>0.1232</v>
      </c>
      <c r="T5" s="2" t="n">
        <f>ROUND(H5*(1+S5),-2)</f>
        <v>2021800</v>
      </c>
      <c r="U5" s="8" t="str">
        <f>IF(I5="","",T5/I5)</f>
      </c>
      <c r="V5" s="2" t="str">
        <f>Y5&amp;IF(AND(ISNUMBER(R5),R5&gt;='Summary'!$B$13,R5&lt;='Summary'!$B$14,ROUND(R5,4)=R5,ROUND(P5+R5,4)&gt;=W5,ROUND(H5*(1+ROUND(P5+R5,4)),-2)&gt;=X5),"",";INVALID_ADJUSTMENT")</f>
        <v>MARKET_DATA_MISSING</v>
      </c>
      <c r="W5" s="7" t="n">
        <v>0.08</v>
      </c>
      <c r="X5" s="2" t="n">
        <v>1944000</v>
      </c>
      <c r="Y5" s="2" t="str">
        <v>MARKET_DATA_MISSING</v>
      </c>
      <c r="Z5" s="2" t="str">
        <v>L-B</v>
      </c>
      <c r="AA5" s="2" t="b">
        <f>R5&lt;&gt;0</f>
        <v>0</v>
      </c>
    </row>
    <row r="6" ht="23" customHeight="1">
      <c r="A6" s="2" t="str">
        <v>B005</v>
      </c>
      <c r="B6" s="2" t="str">
        <v>Team Beta</v>
      </c>
      <c r="C6" s="2" t="str">
        <v>Senior Manager</v>
      </c>
      <c r="D6" s="2" t="n">
        <v>2</v>
      </c>
      <c r="E6" s="2" t="str">
        <v>Senior Manager</v>
      </c>
      <c r="F6" s="2" t="n">
        <v>2</v>
      </c>
      <c r="G6" s="2" t="n">
        <v>1</v>
      </c>
      <c r="H6" s="2" t="n">
        <v>2500000</v>
      </c>
      <c r="I6" s="2" t="n">
        <v>2400000</v>
      </c>
      <c r="J6" s="8" t="n">
        <v>1.0416666666666667</v>
      </c>
      <c r="K6" s="7" t="n">
        <v>0.08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0.08</v>
      </c>
      <c r="Q6" s="2" t="n">
        <v>2700000</v>
      </c>
      <c r="R6" s="10" t="n">
        <v>0</v>
      </c>
      <c r="S6" s="7" t="n">
        <f>IF(AND(ISNUMBER(R6),R6&gt;='Summary'!$B$13,R6&lt;='Summary'!$B$14,ROUND(R6,4)=R6,ROUND(P6+R6,4)&gt;=W6,ROUND(H6*(1+ROUND(P6+R6,4)),-2)&gt;=X6),ROUND(P6+R6,4),NA())</f>
        <v>0.08</v>
      </c>
      <c r="T6" s="2" t="n">
        <f>ROUND(H6*(1+S6),-2)</f>
        <v>2700000</v>
      </c>
      <c r="U6" s="8" t="n">
        <f>IF(I6="","",T6/I6)</f>
        <v>1.125</v>
      </c>
      <c r="V6" s="2" t="str">
        <f>Y6&amp;IF(AND(ISNUMBER(R6),R6&gt;='Summary'!$B$13,R6&lt;='Summary'!$B$14,ROUND(R6,4)=R6,ROUND(P6+R6,4)&gt;=W6,ROUND(H6*(1+ROUND(P6+R6,4)),-2)&gt;=X6),"",";INVALID_ADJUSTMENT")</f>
      </c>
      <c r="W6" s="7" t="n">
        <v>0.08</v>
      </c>
      <c r="X6" s="2" t="n">
        <v>2700000</v>
      </c>
      <c r="Y6" s="2" t="str"/>
      <c r="Z6" s="2" t="str">
        <v>L-B</v>
      </c>
      <c r="AA6" s="2" t="b">
        <f>R6&lt;&gt;0</f>
        <v>0</v>
      </c>
    </row>
  </sheetData>
  <sheetProtection password="FE27" sheet="1" objects="1" scenarios="1" selectLockedCells="0" selectUnlockedCells="0"/>
  <dataValidations count="1">
    <dataValidation type="custom" allowBlank="0" showErrorMessage="1" errorStyle="stop" errorTitle="Invalid adjustment" error="Use two decimal percent precision, configured limits and protected floor." sqref="R2:R6">
      <formula1>AND(ISNUMBER(R2),R2&gt;=INDIRECT("Summary!B13"),R2&lt;=INDIRECT("Summary!B14"),ROUND(R2,4)=R2,ROUND(P2+R2,4)&gt;=W2,ROUND(H2*(1+ROUND(P2+R2,4)),-2)&gt;=X2)</formula1>
    </dataValidation>
  </dataValidations>
  <pageMargins left="0.7" right="0.7" top="0.75" bottom="0.75" header="0.3" footer="0.3"/>
</worksheet>
</file>