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33e8aaff64cd3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FE27" lockStructure="1"/>
  <sheets>
    <sheet name="Summary" sheetId="1" ns1:id="Ra32b84bc81db473e"/>
    <sheet name="Detail" sheetId="2" ns1:id="R951cb57d4b7a42a5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6ee09de28406f" /><Relationship Type="http://schemas.openxmlformats.org/officeDocument/2006/relationships/theme" Target="/xl/theme/theme1.xml" Id="R231edde71e15478c" /><Relationship Type="http://schemas.openxmlformats.org/officeDocument/2006/relationships/sharedStrings" Target="/xl/sharedStrings.xml" Id="R80a8142352324c99" /><Relationship Type="http://schemas.openxmlformats.org/officeDocument/2006/relationships/worksheet" Target="/xl/worksheets/sheet1.xml" Id="Ra32b84bc81db473e" /><Relationship Type="http://schemas.openxmlformats.org/officeDocument/2006/relationships/worksheet" Target="/xl/worksheets/sheet2.xml" Id="R951cb57d4b7a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Leadership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CEO001</v>
      </c>
    </row>
    <row r="4" ht="23" customHeight="1">
      <c r="A4" s="2" t="str">
        <v>Team Payroll June</v>
      </c>
      <c r="B4" s="2" t="n">
        <f>SUM('Detail'!H2:H4)</f>
        <v>11700000</v>
      </c>
    </row>
    <row r="5" ht="23" customHeight="1">
      <c r="A5" s="2" t="str">
        <v>Maximum Payroll / Budget</v>
      </c>
      <c r="B5" s="2" t="n">
        <f>B4*(1+B12)</f>
        <v>14040000</v>
      </c>
    </row>
    <row r="6" ht="23" customHeight="1">
      <c r="A6" s="2" t="str">
        <v>Proposed Payroll</v>
      </c>
      <c r="B6" s="2" t="n">
        <f>SUM('Detail'!Q2:Q4)</f>
        <v>14038500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SUM('Detail'!T2:T4)</f>
        <v>14038500</v>
      </c>
    </row>
    <row r="9" ht="23" customHeight="1">
      <c r="A9" s="2" t="str">
        <v>Budget Remaining</v>
      </c>
      <c r="B9" s="2" t="n">
        <f>B5-B8</f>
        <v>1500</v>
      </c>
    </row>
    <row r="10" ht="23" customHeight="1">
      <c r="A10" s="2" t="str">
        <v>Budget Utilization %</v>
      </c>
      <c r="B10" s="7" t="n">
        <f>B8/B5</f>
        <v>0.9998931623931624</v>
      </c>
    </row>
    <row r="11" ht="23" customHeight="1">
      <c r="A11" s="2" t="str">
        <v>Budget Status</v>
      </c>
      <c r="B11" s="2" t="str">
        <f>IF(ISERROR(B8),"INVALID",IF(B8&gt;B5,"EXCEEDED","OK"))</f>
        <v>OK</v>
      </c>
    </row>
    <row r="12" ht="23" customHeight="1">
      <c r="A12" s="2" t="str">
        <v>Budget %</v>
      </c>
      <c r="B12" s="7" t="n">
        <v>0.2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FE27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L-A</v>
      </c>
      <c r="B2" s="2" t="str">
        <v>Team Alpha</v>
      </c>
      <c r="C2" s="2" t="str">
        <v>Senior Manager</v>
      </c>
      <c r="D2" s="2" t="n">
        <v>2</v>
      </c>
      <c r="E2" s="2" t="str">
        <v>Senior Manager</v>
      </c>
      <c r="F2" s="2" t="n">
        <v>2</v>
      </c>
      <c r="G2" s="2" t="n">
        <v>4</v>
      </c>
      <c r="H2" s="2" t="n">
        <v>3600000</v>
      </c>
      <c r="I2" s="2" t="n">
        <v>4300000</v>
      </c>
      <c r="J2" s="8" t="n">
        <v>0.8372093023255814</v>
      </c>
      <c r="K2" s="7" t="n">
        <v>0.08</v>
      </c>
      <c r="L2" s="7" t="n">
        <v>0</v>
      </c>
      <c r="M2" s="7" t="n">
        <v>0</v>
      </c>
      <c r="N2" s="7" t="n">
        <v>0.0886</v>
      </c>
      <c r="O2" s="7" t="n">
        <v>0.0222</v>
      </c>
      <c r="P2" s="7" t="n">
        <v>0.1908</v>
      </c>
      <c r="Q2" s="2" t="n">
        <v>4286900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0.1908</v>
      </c>
      <c r="T2" s="2" t="n">
        <f>ROUND(H2*(1+S2),-2)</f>
        <v>4286900</v>
      </c>
      <c r="U2" s="8" t="n">
        <f>IF(I2="","",T2/I2)</f>
        <v>0.9969534883720931</v>
      </c>
      <c r="V2" s="2" t="str">
        <f>Y2&amp;IF(AND(ISNUMBER(R2),R2&gt;='Summary'!$B$13,R2&lt;='Summary'!$B$14,ROUND(R2,4)=R2,ROUND(P2+R2,4)&gt;=W2,ROUND(H2*(1+ROUND(P2+R2,4)),-2)&gt;=X2),"",";INVALID_ADJUSTMENT")</f>
      </c>
      <c r="W2" s="7" t="n">
        <v>0.08</v>
      </c>
      <c r="X2" s="2" t="n">
        <v>3888000</v>
      </c>
      <c r="Y2" s="2" t="str"/>
      <c r="Z2" s="2" t="str">
        <v>CEO001</v>
      </c>
      <c r="AA2" s="2" t="b">
        <f>R2&lt;&gt;0</f>
        <v>0</v>
      </c>
    </row>
    <row r="3" ht="23" customHeight="1">
      <c r="A3" s="2" t="str">
        <v>L-B</v>
      </c>
      <c r="B3" s="2" t="str">
        <v>Team Beta</v>
      </c>
      <c r="C3" s="2" t="str">
        <v>Director</v>
      </c>
      <c r="D3" s="2" t="n">
        <v>1</v>
      </c>
      <c r="E3" s="2" t="str">
        <v>Director</v>
      </c>
      <c r="F3" s="2" t="n">
        <v>1</v>
      </c>
      <c r="G3" s="2" t="n">
        <v>3</v>
      </c>
      <c r="H3" s="2" t="n">
        <v>3900000</v>
      </c>
      <c r="I3" s="2" t="n">
        <v>4700000</v>
      </c>
      <c r="J3" s="8" t="n">
        <v>0.8297872340425532</v>
      </c>
      <c r="K3" s="7" t="n">
        <v>0.08</v>
      </c>
      <c r="L3" s="7" t="n">
        <v>0</v>
      </c>
      <c r="M3" s="7" t="n">
        <v>0</v>
      </c>
      <c r="N3" s="7" t="n">
        <v>0.0443</v>
      </c>
      <c r="O3" s="7" t="n">
        <v>0.0222</v>
      </c>
      <c r="P3" s="7" t="n">
        <v>0.1465</v>
      </c>
      <c r="Q3" s="2" t="n">
        <v>4471400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0.1465</v>
      </c>
      <c r="T3" s="2" t="n">
        <f>ROUND(H3*(1+S3),-2)</f>
        <v>4471400</v>
      </c>
      <c r="U3" s="8" t="n">
        <f>IF(I3="","",T3/I3)</f>
        <v>0.9513617021276596</v>
      </c>
      <c r="V3" s="2" t="str">
        <f>Y3&amp;IF(AND(ISNUMBER(R3),R3&gt;='Summary'!$B$13,R3&lt;='Summary'!$B$14,ROUND(R3,4)=R3,ROUND(P3+R3,4)&gt;=W3,ROUND(H3*(1+ROUND(P3+R3,4)),-2)&gt;=X3),"",";INVALID_ADJUSTMENT")</f>
      </c>
      <c r="W3" s="7" t="n">
        <v>0.08</v>
      </c>
      <c r="X3" s="2" t="n">
        <v>4212000</v>
      </c>
      <c r="Y3" s="2" t="str"/>
      <c r="Z3" s="2" t="str">
        <v>CEO001</v>
      </c>
      <c r="AA3" s="2" t="b">
        <f>R3&lt;&gt;0</f>
        <v>0</v>
      </c>
    </row>
    <row r="4" ht="23" customHeight="1">
      <c r="A4" s="2" t="str">
        <v>L-C</v>
      </c>
      <c r="B4" s="2" t="str">
        <v>Team Gamma</v>
      </c>
      <c r="C4" s="2" t="str">
        <v>Director</v>
      </c>
      <c r="D4" s="2" t="n">
        <v>2</v>
      </c>
      <c r="E4" s="2" t="str">
        <v>Director</v>
      </c>
      <c r="F4" s="2" t="n">
        <v>2</v>
      </c>
      <c r="G4" s="2" t="n">
        <v>5</v>
      </c>
      <c r="H4" s="2" t="n">
        <v>4200000</v>
      </c>
      <c r="I4" s="2" t="n">
        <v>5200000</v>
      </c>
      <c r="J4" s="8" t="n">
        <v>0.8076923076923077</v>
      </c>
      <c r="K4" s="7" t="n">
        <v>0.08</v>
      </c>
      <c r="L4" s="7" t="n">
        <v>0</v>
      </c>
      <c r="M4" s="7" t="n">
        <v>0</v>
      </c>
      <c r="N4" s="7" t="n">
        <v>0.1772</v>
      </c>
      <c r="O4" s="7" t="n">
        <v>0</v>
      </c>
      <c r="P4" s="7" t="n">
        <v>0.2572</v>
      </c>
      <c r="Q4" s="2" t="n">
        <v>5280200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0.2572</v>
      </c>
      <c r="T4" s="2" t="n">
        <f>ROUND(H4*(1+S4),-2)</f>
        <v>5280200</v>
      </c>
      <c r="U4" s="8" t="n">
        <f>IF(I4="","",T4/I4)</f>
        <v>1.015423076923077</v>
      </c>
      <c r="V4" s="2" t="str">
        <f>Y4&amp;IF(AND(ISNUMBER(R4),R4&gt;='Summary'!$B$13,R4&lt;='Summary'!$B$14,ROUND(R4,4)=R4,ROUND(P4+R4,4)&gt;=W4,ROUND(H4*(1+ROUND(P4+R4,4)),-2)&gt;=X4),"",";INVALID_ADJUSTMENT")</f>
      </c>
      <c r="W4" s="7" t="n">
        <v>0.08</v>
      </c>
      <c r="X4" s="2" t="n">
        <v>4536000</v>
      </c>
      <c r="Y4" s="2" t="str"/>
      <c r="Z4" s="2" t="str">
        <v>CEO001</v>
      </c>
      <c r="AA4" s="2" t="b">
        <f>R4&lt;&gt;0</f>
        <v>0</v>
      </c>
    </row>
  </sheetData>
  <sheetProtection password="FE27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4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